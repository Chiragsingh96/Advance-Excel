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richPivotRecords1.xml" ContentType="application/vnd.openxmlformats-officedocument.spreadsheetml.richPivot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tables/table5.xml" ContentType="application/vnd.openxmlformats-officedocument.spreadsheetml.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hidePivotFieldList="1" defaultThemeVersion="166925"/>
  <xr:revisionPtr revIDLastSave="0" documentId="8_{73D97C6C-E297-4403-8A88-FF0927E8AE56}" xr6:coauthVersionLast="47" xr6:coauthVersionMax="47" xr10:uidLastSave="{00000000-0000-0000-0000-000000000000}"/>
  <bookViews>
    <workbookView xWindow="240" yWindow="105" windowWidth="14805" windowHeight="8010" firstSheet="7" activeTab="7" xr2:uid="{00000000-000D-0000-FFFF-FFFF00000000}"/>
  </bookViews>
  <sheets>
    <sheet name="Emplyee Data (Base Data)" sheetId="3" r:id="rId1"/>
    <sheet name="Data Cleaning &amp; Spacing" sheetId="4" r:id="rId2"/>
    <sheet name="Table &amp; Filter" sheetId="5" r:id="rId3"/>
    <sheet name="Conditional_Formating" sheetId="6" r:id="rId4"/>
    <sheet name="Formulas" sheetId="7" r:id="rId5"/>
    <sheet name="Lookups Index&amp;match" sheetId="8" r:id="rId6"/>
    <sheet name="Pivot Table" sheetId="10" r:id="rId7"/>
    <sheet name="Dashboard" sheetId="13" r:id="rId8"/>
    <sheet name="WorkingDashboard" sheetId="12" r:id="rId9"/>
  </sheets>
  <calcPr calcId="191028"/>
  <pivotCaches>
    <pivotCache cacheId="151"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A2" i="12" l="1"/>
  <c r="AB2" i="12"/>
  <c r="AC2" i="12"/>
  <c r="AD2" i="12"/>
  <c r="AE2" i="12"/>
  <c r="AA3" i="12"/>
  <c r="AB3" i="12"/>
  <c r="AC3" i="12"/>
  <c r="AD3" i="12"/>
  <c r="AE3" i="12"/>
  <c r="AA4" i="12"/>
  <c r="AB4" i="12"/>
  <c r="AC4" i="12"/>
  <c r="AD4" i="12"/>
  <c r="AE4" i="12"/>
  <c r="AA5" i="12"/>
  <c r="AB5" i="12"/>
  <c r="AC5" i="12"/>
  <c r="AD5" i="12"/>
  <c r="AE5" i="12"/>
  <c r="AA6" i="12"/>
  <c r="AB6" i="12"/>
  <c r="AC6" i="12"/>
  <c r="AD6" i="12"/>
  <c r="AE6" i="12"/>
  <c r="AA7" i="12"/>
  <c r="AB7" i="12"/>
  <c r="AC7" i="12"/>
  <c r="AD7" i="12"/>
  <c r="AE7" i="12"/>
  <c r="AA8" i="12"/>
  <c r="AB8" i="12"/>
  <c r="AC8" i="12"/>
  <c r="AD8" i="12"/>
  <c r="AE8" i="12"/>
  <c r="AA9" i="12"/>
  <c r="AB9" i="12"/>
  <c r="AC9" i="12"/>
  <c r="AD9" i="12"/>
  <c r="AE9" i="12"/>
  <c r="AA10" i="12"/>
  <c r="AB10" i="12"/>
  <c r="AC10" i="12"/>
  <c r="AD10" i="12"/>
  <c r="AE10" i="12"/>
  <c r="AA11" i="12"/>
  <c r="AB11" i="12"/>
  <c r="AC11" i="12"/>
  <c r="AD11" i="12"/>
  <c r="AE11" i="12"/>
  <c r="AA12" i="12"/>
  <c r="AB12" i="12"/>
  <c r="AC12" i="12"/>
  <c r="AD12" i="12"/>
  <c r="AE12" i="12"/>
  <c r="AA13" i="12"/>
  <c r="AB13" i="12"/>
  <c r="AC13" i="12"/>
  <c r="AD13" i="12"/>
  <c r="AE13" i="12"/>
  <c r="AA14" i="12"/>
  <c r="AB14" i="12"/>
  <c r="AC14" i="12"/>
  <c r="AD14" i="12"/>
  <c r="AE14" i="12"/>
  <c r="AA15" i="12"/>
  <c r="AB15" i="12"/>
  <c r="AC15" i="12"/>
  <c r="AD15" i="12"/>
  <c r="AE15" i="12"/>
  <c r="AA16" i="12"/>
  <c r="AB16" i="12"/>
  <c r="AC16" i="12"/>
  <c r="AD16" i="12"/>
  <c r="AE16" i="12"/>
  <c r="AA17" i="12"/>
  <c r="AB17" i="12"/>
  <c r="AC17" i="12"/>
  <c r="AD17" i="12"/>
  <c r="AE17" i="12"/>
  <c r="AA18" i="12"/>
  <c r="AB18" i="12"/>
  <c r="AC18" i="12"/>
  <c r="AD18" i="12"/>
  <c r="AE18" i="12"/>
  <c r="AA19" i="12"/>
  <c r="AB19" i="12"/>
  <c r="AC19" i="12"/>
  <c r="AD19" i="12"/>
  <c r="AE19" i="12"/>
  <c r="AA20" i="12"/>
  <c r="AB20" i="12"/>
  <c r="AC20" i="12"/>
  <c r="AD20" i="12"/>
  <c r="AE20" i="12"/>
  <c r="AA21" i="12"/>
  <c r="AB21" i="12"/>
  <c r="AC21" i="12"/>
  <c r="AD21" i="12"/>
  <c r="AE21" i="12"/>
  <c r="R59" i="12"/>
  <c r="U59" i="12"/>
  <c r="X59" i="12"/>
  <c r="AA59" i="12"/>
  <c r="BZ34" i="12"/>
  <c r="BZ33" i="12"/>
  <c r="BZ32" i="12"/>
  <c r="BW35" i="12"/>
  <c r="BW34" i="12"/>
  <c r="BW33" i="12"/>
  <c r="BW32" i="12"/>
  <c r="BT35" i="12"/>
  <c r="BT34" i="12"/>
  <c r="BT33" i="12"/>
  <c r="BT32" i="12"/>
  <c r="AP34" i="12"/>
  <c r="AM34" i="12"/>
  <c r="AJ34" i="12"/>
  <c r="BK7" i="12"/>
  <c r="BK6" i="12"/>
  <c r="BK5" i="12"/>
  <c r="BK4" i="12"/>
  <c r="BK3" i="12"/>
  <c r="BH12" i="12"/>
  <c r="BH11" i="12"/>
  <c r="BH10" i="12"/>
  <c r="BH9" i="12"/>
  <c r="BH8" i="12"/>
  <c r="BH7" i="12"/>
  <c r="BH6" i="12"/>
  <c r="BH5" i="12"/>
  <c r="BH4" i="12"/>
  <c r="BH3" i="12"/>
  <c r="BE5" i="12"/>
  <c r="BE4" i="12"/>
  <c r="BE3" i="12"/>
  <c r="BB3" i="12"/>
  <c r="BB4" i="12" s="1"/>
  <c r="AL13" i="12"/>
  <c r="AL12" i="12"/>
  <c r="AL11" i="12"/>
  <c r="AH13" i="12"/>
  <c r="AH12" i="12"/>
  <c r="AH11" i="12"/>
  <c r="AP4" i="12"/>
  <c r="AM4" i="12"/>
  <c r="AJ4" i="12"/>
  <c r="AG4" i="12"/>
  <c r="BQ34" i="12"/>
  <c r="E26" i="8"/>
  <c r="E27" i="8"/>
  <c r="E28" i="8"/>
  <c r="E29" i="8"/>
  <c r="D26" i="8"/>
  <c r="D27" i="8"/>
  <c r="D28" i="8"/>
  <c r="D29" i="8"/>
  <c r="C26" i="8"/>
  <c r="C27" i="8"/>
  <c r="C28" i="8"/>
  <c r="C29" i="8"/>
  <c r="H29" i="8"/>
  <c r="M29" i="8"/>
  <c r="N27" i="8"/>
  <c r="M26" i="8"/>
  <c r="M27" i="8"/>
  <c r="M28" i="8"/>
  <c r="M25" i="8"/>
  <c r="J27" i="8"/>
  <c r="I27" i="8"/>
  <c r="H26" i="8"/>
  <c r="H27" i="8"/>
  <c r="H28" i="8"/>
  <c r="H25" i="8"/>
  <c r="AD21" i="8"/>
  <c r="AC21" i="8"/>
  <c r="J29" i="8" s="1"/>
  <c r="AA21" i="8"/>
  <c r="AD20" i="8"/>
  <c r="AC20" i="8"/>
  <c r="J28" i="8" s="1"/>
  <c r="AA20" i="8"/>
  <c r="AB20" i="8" s="1"/>
  <c r="AD19" i="8"/>
  <c r="AC19" i="8"/>
  <c r="AA19" i="8"/>
  <c r="AB19" i="8" s="1"/>
  <c r="AD18" i="8"/>
  <c r="AC18" i="8"/>
  <c r="AA18" i="8"/>
  <c r="AD17" i="8"/>
  <c r="AC17" i="8"/>
  <c r="AA17" i="8"/>
  <c r="AB17" i="8" s="1"/>
  <c r="AD16" i="8"/>
  <c r="AC16" i="8"/>
  <c r="AA16" i="8"/>
  <c r="AB16" i="8" s="1"/>
  <c r="AD15" i="8"/>
  <c r="AC15" i="8"/>
  <c r="AA15" i="8"/>
  <c r="AB15" i="8" s="1"/>
  <c r="AD14" i="8"/>
  <c r="AC14" i="8"/>
  <c r="AA14" i="8"/>
  <c r="AB14" i="8" s="1"/>
  <c r="AD13" i="8"/>
  <c r="AC13" i="8"/>
  <c r="AA13" i="8"/>
  <c r="AB13" i="8" s="1"/>
  <c r="AD12" i="8"/>
  <c r="AC12" i="8"/>
  <c r="J26" i="8" s="1"/>
  <c r="AA12" i="8"/>
  <c r="AB12" i="8" s="1"/>
  <c r="AD11" i="8"/>
  <c r="AC11" i="8"/>
  <c r="J25" i="8" s="1"/>
  <c r="AA11" i="8"/>
  <c r="AB11" i="8" s="1"/>
  <c r="AD10" i="8"/>
  <c r="AC10" i="8"/>
  <c r="AA10" i="8"/>
  <c r="AB10" i="8" s="1"/>
  <c r="AD9" i="8"/>
  <c r="AC9" i="8"/>
  <c r="AA9" i="8"/>
  <c r="AB9" i="8" s="1"/>
  <c r="AD8" i="8"/>
  <c r="AC8" i="8"/>
  <c r="AA8" i="8"/>
  <c r="AB8" i="8" s="1"/>
  <c r="AD7" i="8"/>
  <c r="AC7" i="8"/>
  <c r="AA7" i="8"/>
  <c r="AB7" i="8" s="1"/>
  <c r="AD6" i="8"/>
  <c r="AC6" i="8"/>
  <c r="AA6" i="8"/>
  <c r="AB6" i="8" s="1"/>
  <c r="AD5" i="8"/>
  <c r="AC5" i="8"/>
  <c r="AA5" i="8"/>
  <c r="AB5" i="8" s="1"/>
  <c r="AD4" i="8"/>
  <c r="AC4" i="8"/>
  <c r="AA4" i="8"/>
  <c r="AD3" i="8"/>
  <c r="AC3" i="8"/>
  <c r="AA3" i="8"/>
  <c r="AB3" i="8" s="1"/>
  <c r="AD2" i="8"/>
  <c r="AC2" i="8"/>
  <c r="AA2" i="8"/>
  <c r="AD2" i="7"/>
  <c r="AE2" i="7" s="1"/>
  <c r="AD3" i="7"/>
  <c r="AE3" i="7" s="1"/>
  <c r="AD4" i="7"/>
  <c r="AE4" i="7" s="1"/>
  <c r="AD5" i="7"/>
  <c r="AE5" i="7" s="1"/>
  <c r="AD6" i="7"/>
  <c r="AE6" i="7" s="1"/>
  <c r="AD7" i="7"/>
  <c r="AE7" i="7" s="1"/>
  <c r="AD8" i="7"/>
  <c r="AE8" i="7" s="1"/>
  <c r="AD9" i="7"/>
  <c r="AE9" i="7" s="1"/>
  <c r="AD10" i="7"/>
  <c r="AE10" i="7" s="1"/>
  <c r="AD11" i="7"/>
  <c r="AE11" i="7" s="1"/>
  <c r="AD12" i="7"/>
  <c r="AE12" i="7" s="1"/>
  <c r="AD13" i="7"/>
  <c r="AE13" i="7" s="1"/>
  <c r="AD14" i="7"/>
  <c r="AE14" i="7" s="1"/>
  <c r="AD15" i="7"/>
  <c r="AE15" i="7" s="1"/>
  <c r="AD16" i="7"/>
  <c r="AE16" i="7" s="1"/>
  <c r="AD17" i="7"/>
  <c r="AE17" i="7" s="1"/>
  <c r="AD18" i="7"/>
  <c r="AE18" i="7" s="1"/>
  <c r="AD19" i="7"/>
  <c r="AE19" i="7" s="1"/>
  <c r="AD20" i="7"/>
  <c r="AE20" i="7" s="1"/>
  <c r="AD21" i="7"/>
  <c r="AE21" i="7" s="1"/>
  <c r="AC2" i="7"/>
  <c r="AC3" i="7"/>
  <c r="AC4" i="7"/>
  <c r="AC5" i="7"/>
  <c r="AC6" i="7"/>
  <c r="AC7" i="7"/>
  <c r="AC8" i="7"/>
  <c r="AC9" i="7"/>
  <c r="AC10" i="7"/>
  <c r="AC11" i="7"/>
  <c r="AC12" i="7"/>
  <c r="AC13" i="7"/>
  <c r="AC14" i="7"/>
  <c r="AC15" i="7"/>
  <c r="AC16" i="7"/>
  <c r="AC17" i="7"/>
  <c r="AC18" i="7"/>
  <c r="AC19" i="7"/>
  <c r="AC20" i="7"/>
  <c r="AC21" i="7"/>
  <c r="AA21" i="7"/>
  <c r="AB21" i="7" s="1"/>
  <c r="AA20" i="7"/>
  <c r="AB20" i="7" s="1"/>
  <c r="AA19" i="7"/>
  <c r="AB19" i="7" s="1"/>
  <c r="AA18" i="7"/>
  <c r="AB18" i="7" s="1"/>
  <c r="AA17" i="7"/>
  <c r="AB17" i="7" s="1"/>
  <c r="AA16" i="7"/>
  <c r="AB16" i="7" s="1"/>
  <c r="AA15" i="7"/>
  <c r="AB15" i="7" s="1"/>
  <c r="AA14" i="7"/>
  <c r="AB14" i="7" s="1"/>
  <c r="AA13" i="7"/>
  <c r="AB13" i="7" s="1"/>
  <c r="AA12" i="7"/>
  <c r="AB12" i="7" s="1"/>
  <c r="AA11" i="7"/>
  <c r="AB11" i="7" s="1"/>
  <c r="AA10" i="7"/>
  <c r="AB10" i="7" s="1"/>
  <c r="AA9" i="7"/>
  <c r="AB9" i="7" s="1"/>
  <c r="AA8" i="7"/>
  <c r="AB8" i="7" s="1"/>
  <c r="AA7" i="7"/>
  <c r="AB7" i="7" s="1"/>
  <c r="AA6" i="7"/>
  <c r="AB6" i="7" s="1"/>
  <c r="AA5" i="7"/>
  <c r="AB5" i="7" s="1"/>
  <c r="AA4" i="7"/>
  <c r="AB4" i="7" s="1"/>
  <c r="AA3" i="7"/>
  <c r="AB3" i="7" s="1"/>
  <c r="AA2" i="7"/>
  <c r="AB2" i="7" s="1"/>
  <c r="AB4" i="6"/>
  <c r="AA21" i="6"/>
  <c r="AB21" i="6" s="1"/>
  <c r="AA20" i="6"/>
  <c r="AB20" i="6" s="1"/>
  <c r="AA19" i="6"/>
  <c r="AB19" i="6" s="1"/>
  <c r="AA18" i="6"/>
  <c r="AB18" i="6" s="1"/>
  <c r="AA17" i="6"/>
  <c r="AB17" i="6" s="1"/>
  <c r="AA16" i="6"/>
  <c r="AB16" i="6" s="1"/>
  <c r="AA15" i="6"/>
  <c r="AB15" i="6" s="1"/>
  <c r="AA14" i="6"/>
  <c r="AB14" i="6" s="1"/>
  <c r="AA13" i="6"/>
  <c r="AB13" i="6" s="1"/>
  <c r="AA12" i="6"/>
  <c r="AB12" i="6" s="1"/>
  <c r="AA11" i="6"/>
  <c r="AB11" i="6" s="1"/>
  <c r="AA10" i="6"/>
  <c r="AB10" i="6" s="1"/>
  <c r="AA9" i="6"/>
  <c r="AB9" i="6" s="1"/>
  <c r="AA8" i="6"/>
  <c r="AB8" i="6" s="1"/>
  <c r="AA7" i="6"/>
  <c r="AB7" i="6" s="1"/>
  <c r="AA6" i="6"/>
  <c r="AB6" i="6" s="1"/>
  <c r="AA5" i="6"/>
  <c r="AB5" i="6" s="1"/>
  <c r="AA4" i="6"/>
  <c r="AA3" i="6"/>
  <c r="AB3" i="6" s="1"/>
  <c r="AA2" i="6"/>
  <c r="AB2" i="6" s="1"/>
  <c r="AA3" i="5"/>
  <c r="AB3" i="5" s="1"/>
  <c r="AA4" i="5"/>
  <c r="AB4" i="5" s="1"/>
  <c r="AA5" i="5"/>
  <c r="AB5" i="5" s="1"/>
  <c r="AA6" i="5"/>
  <c r="AB6" i="5" s="1"/>
  <c r="AA7" i="5"/>
  <c r="AB7" i="5" s="1"/>
  <c r="AA8" i="5"/>
  <c r="AB8" i="5" s="1"/>
  <c r="AA9" i="5"/>
  <c r="AB9" i="5" s="1"/>
  <c r="AA10" i="5"/>
  <c r="AB10" i="5" s="1"/>
  <c r="AA11" i="5"/>
  <c r="AB11" i="5" s="1"/>
  <c r="AA12" i="5"/>
  <c r="AB12" i="5" s="1"/>
  <c r="AA13" i="5"/>
  <c r="AB13" i="5" s="1"/>
  <c r="AA14" i="5"/>
  <c r="AB14" i="5" s="1"/>
  <c r="AA15" i="5"/>
  <c r="AB15" i="5" s="1"/>
  <c r="AA16" i="5"/>
  <c r="AB16" i="5" s="1"/>
  <c r="AA17" i="5"/>
  <c r="AB17" i="5" s="1"/>
  <c r="AA18" i="5"/>
  <c r="AB18" i="5" s="1"/>
  <c r="AA19" i="5"/>
  <c r="AB19" i="5" s="1"/>
  <c r="AA20" i="5"/>
  <c r="AB20" i="5" s="1"/>
  <c r="AA21" i="5"/>
  <c r="AB21" i="5" s="1"/>
  <c r="AA2" i="5"/>
  <c r="AB2" i="5" s="1"/>
  <c r="BQ32" i="12" l="1"/>
  <c r="BQ33" i="12"/>
  <c r="AG34" i="12"/>
  <c r="AE3" i="8"/>
  <c r="AE4" i="8"/>
  <c r="O26" i="8" s="1"/>
  <c r="AE5" i="8"/>
  <c r="AE6" i="8"/>
  <c r="AE7" i="8"/>
  <c r="AE8" i="8"/>
  <c r="AE9" i="8"/>
  <c r="AE10" i="8"/>
  <c r="AE13" i="8"/>
  <c r="AE14" i="8"/>
  <c r="AE15" i="8"/>
  <c r="AE16" i="8"/>
  <c r="AE17" i="8"/>
  <c r="AE18" i="8"/>
  <c r="O28" i="8" s="1"/>
  <c r="AE19" i="8"/>
  <c r="AB2" i="8"/>
  <c r="N25" i="8"/>
  <c r="AB4" i="8"/>
  <c r="N26" i="8"/>
  <c r="AB18" i="8"/>
  <c r="N28" i="8"/>
  <c r="AB21" i="8"/>
  <c r="N29" i="8"/>
  <c r="AE21" i="8"/>
  <c r="O29" i="8" s="1"/>
  <c r="I29" i="8"/>
  <c r="AE12" i="8"/>
  <c r="O27" i="8" s="1"/>
  <c r="I26" i="8"/>
  <c r="AE20" i="8"/>
  <c r="I28" i="8"/>
  <c r="AE11" i="8"/>
  <c r="I25" i="8"/>
  <c r="AE2" i="8"/>
  <c r="O25" i="8" s="1"/>
  <c r="C25" i="8"/>
  <c r="D25" i="8"/>
  <c r="E25" i="8"/>
  <c r="BN4" i="12" l="1"/>
  <c r="BN3" i="12"/>
  <c r="AS4" i="1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4">
    <bk>
      <extLst>
        <ext uri="{3e2802c4-a4d2-4d8b-9148-e3be6c30e623}">
          <xlrd:rvb i="0"/>
        </ext>
      </extLst>
    </bk>
    <bk>
      <extLst>
        <ext uri="{3e2802c4-a4d2-4d8b-9148-e3be6c30e623}">
          <xlrd:rvb i="29"/>
        </ext>
      </extLst>
    </bk>
    <bk>
      <extLst>
        <ext uri="{3e2802c4-a4d2-4d8b-9148-e3be6c30e623}">
          <xlrd:rvb i="40"/>
        </ext>
      </extLst>
    </bk>
    <bk>
      <extLst>
        <ext uri="{3e2802c4-a4d2-4d8b-9148-e3be6c30e623}">
          <xlrd:rvb i="2"/>
        </ext>
      </extLst>
    </bk>
    <bk>
      <extLst>
        <ext uri="{3e2802c4-a4d2-4d8b-9148-e3be6c30e623}">
          <xlrd:rvb i="62"/>
        </ext>
      </extLst>
    </bk>
    <bk>
      <extLst>
        <ext uri="{3e2802c4-a4d2-4d8b-9148-e3be6c30e623}">
          <xlrd:rvb i="5"/>
        </ext>
      </extLst>
    </bk>
    <bk>
      <extLst>
        <ext uri="{3e2802c4-a4d2-4d8b-9148-e3be6c30e623}">
          <xlrd:rvb i="44"/>
        </ext>
      </extLst>
    </bk>
    <bk>
      <extLst>
        <ext uri="{3e2802c4-a4d2-4d8b-9148-e3be6c30e623}">
          <xlrd:rvb i="74"/>
        </ext>
      </extLst>
    </bk>
    <bk>
      <extLst>
        <ext uri="{3e2802c4-a4d2-4d8b-9148-e3be6c30e623}">
          <xlrd:rvb i="86"/>
        </ext>
      </extLst>
    </bk>
    <bk>
      <extLst>
        <ext uri="{3e2802c4-a4d2-4d8b-9148-e3be6c30e623}">
          <xlrd:rvb i="97"/>
        </ext>
      </extLst>
    </bk>
    <bk>
      <extLst>
        <ext uri="{3e2802c4-a4d2-4d8b-9148-e3be6c30e623}">
          <xlrd:rvb i="107"/>
        </ext>
      </extLst>
    </bk>
    <bk>
      <extLst>
        <ext uri="{3e2802c4-a4d2-4d8b-9148-e3be6c30e623}">
          <xlrd:rvb i="117"/>
        </ext>
      </extLst>
    </bk>
    <bk>
      <extLst>
        <ext uri="{3e2802c4-a4d2-4d8b-9148-e3be6c30e623}">
          <xlrd:rvb i="127"/>
        </ext>
      </extLst>
    </bk>
    <bk>
      <extLst>
        <ext uri="{3e2802c4-a4d2-4d8b-9148-e3be6c30e623}">
          <xlrd:rvb i="139"/>
        </ext>
      </extLst>
    </bk>
  </futureMetadata>
  <valueMetadata count="14">
    <bk>
      <rc t="1" v="0"/>
    </bk>
    <bk>
      <rc t="1" v="1"/>
    </bk>
    <bk>
      <rc t="1" v="2"/>
    </bk>
    <bk>
      <rc t="1" v="3"/>
    </bk>
    <bk>
      <rc t="1" v="4"/>
    </bk>
    <bk>
      <rc t="1" v="5"/>
    </bk>
    <bk>
      <rc t="1" v="6"/>
    </bk>
    <bk>
      <rc t="1" v="7"/>
    </bk>
    <bk>
      <rc t="1" v="8"/>
    </bk>
    <bk>
      <rc t="1" v="9"/>
    </bk>
    <bk>
      <rc t="1" v="10"/>
    </bk>
    <bk>
      <rc t="1" v="11"/>
    </bk>
    <bk>
      <rc t="1" v="12"/>
    </bk>
    <bk>
      <rc t="1" v="13"/>
    </bk>
  </valueMetadata>
</metadata>
</file>

<file path=xl/sharedStrings.xml><?xml version="1.0" encoding="utf-8"?>
<sst xmlns="http://schemas.openxmlformats.org/spreadsheetml/2006/main" count="2514" uniqueCount="243">
  <si>
    <t>Employee_ID</t>
  </si>
  <si>
    <t>Employee_Name</t>
  </si>
  <si>
    <t>Gender &amp; Age</t>
  </si>
  <si>
    <t>Department</t>
  </si>
  <si>
    <t>Designation</t>
  </si>
  <si>
    <t>Joining_Date</t>
  </si>
  <si>
    <t>Managers_Names</t>
  </si>
  <si>
    <t>Performance_Rating</t>
  </si>
  <si>
    <t>Leave _aken</t>
  </si>
  <si>
    <t>City</t>
  </si>
  <si>
    <t>Employment_Status</t>
  </si>
  <si>
    <t>Marital_Status</t>
  </si>
  <si>
    <t>Work_mode</t>
  </si>
  <si>
    <t>Education</t>
  </si>
  <si>
    <t>Job_Location</t>
  </si>
  <si>
    <t>Date_of_birth</t>
  </si>
  <si>
    <t>BLood_Group</t>
  </si>
  <si>
    <t>Email_ID</t>
  </si>
  <si>
    <t>Phone_Number</t>
  </si>
  <si>
    <t>University</t>
  </si>
  <si>
    <t>Employee_type</t>
  </si>
  <si>
    <t>Employee_category</t>
  </si>
  <si>
    <t>Basis_salary</t>
  </si>
  <si>
    <t>Transport_Allowance</t>
  </si>
  <si>
    <t>Medical_Allowance</t>
  </si>
  <si>
    <t>Bonus</t>
  </si>
  <si>
    <t>HRA (House_Rent_Allowance)</t>
  </si>
  <si>
    <t>EMP001</t>
  </si>
  <si>
    <t>Chirag SIngh Khusar</t>
  </si>
  <si>
    <t>Male 39</t>
  </si>
  <si>
    <t>HR</t>
  </si>
  <si>
    <t>HR Executive</t>
  </si>
  <si>
    <t>Vivek Oberio</t>
  </si>
  <si>
    <t>Active</t>
  </si>
  <si>
    <t>Married</t>
  </si>
  <si>
    <t>WFO</t>
  </si>
  <si>
    <t>Graduation</t>
  </si>
  <si>
    <t>Chandigarh</t>
  </si>
  <si>
    <t>A</t>
  </si>
  <si>
    <t>chirag_singh2007@gmail.com</t>
  </si>
  <si>
    <t>Mumbai</t>
  </si>
  <si>
    <t>Permanent</t>
  </si>
  <si>
    <t>Full-Time</t>
  </si>
  <si>
    <t>EMP002</t>
  </si>
  <si>
    <t>Aarav Sharma</t>
  </si>
  <si>
    <t>Male 34</t>
  </si>
  <si>
    <t>Sales</t>
  </si>
  <si>
    <t>Sales Executive</t>
  </si>
  <si>
    <t>Nile Khanna</t>
  </si>
  <si>
    <t>Hybrid</t>
  </si>
  <si>
    <t>Master</t>
  </si>
  <si>
    <t>Noida</t>
  </si>
  <si>
    <t>AB</t>
  </si>
  <si>
    <t>aarav_sharma2012@gmail.com</t>
  </si>
  <si>
    <t>Delhi</t>
  </si>
  <si>
    <t>Contract</t>
  </si>
  <si>
    <t>Part-Time</t>
  </si>
  <si>
    <t>EMP003</t>
  </si>
  <si>
    <t>Nimrat Khaira</t>
  </si>
  <si>
    <t>Female 27</t>
  </si>
  <si>
    <t>Operation</t>
  </si>
  <si>
    <t>Operation Manager</t>
  </si>
  <si>
    <t>Nitin Lyer</t>
  </si>
  <si>
    <t>Unmarried</t>
  </si>
  <si>
    <t>WFH</t>
  </si>
  <si>
    <t>MBA</t>
  </si>
  <si>
    <t>Banglore</t>
  </si>
  <si>
    <t>O</t>
  </si>
  <si>
    <t>nimrat_khaira2011@gmial.com</t>
  </si>
  <si>
    <t>Gujrat</t>
  </si>
  <si>
    <t>Intern</t>
  </si>
  <si>
    <t>EMP004</t>
  </si>
  <si>
    <t>Rohan Patel</t>
  </si>
  <si>
    <t>Male-40</t>
  </si>
  <si>
    <t>IT</t>
  </si>
  <si>
    <t>Software Engineer</t>
  </si>
  <si>
    <t>Mukesh Gosh</t>
  </si>
  <si>
    <t xml:space="preserve">B </t>
  </si>
  <si>
    <t>rohan_patel2004@gmail.com</t>
  </si>
  <si>
    <t>EMP005</t>
  </si>
  <si>
    <t>Sneha Kapoor</t>
  </si>
  <si>
    <t>Female-22</t>
  </si>
  <si>
    <t>Finance</t>
  </si>
  <si>
    <t>Finance Analyst</t>
  </si>
  <si>
    <t>Gurpreet Singh</t>
  </si>
  <si>
    <t>sneha_kapoor2018@gmail.com</t>
  </si>
  <si>
    <t>EMP006</t>
  </si>
  <si>
    <t>Priya Verma</t>
  </si>
  <si>
    <t>Female 23</t>
  </si>
  <si>
    <t>Customer support</t>
  </si>
  <si>
    <t>Team lead</t>
  </si>
  <si>
    <t>priya_verma2009@gmail.com</t>
  </si>
  <si>
    <t>EMP007</t>
  </si>
  <si>
    <t>Neeru Bajwa</t>
  </si>
  <si>
    <t>HR Hiring</t>
  </si>
  <si>
    <t>neeru_bajwa2011@gmail.com</t>
  </si>
  <si>
    <t>EMP008</t>
  </si>
  <si>
    <t>Aditya Mehta</t>
  </si>
  <si>
    <t>Sales Manager</t>
  </si>
  <si>
    <t>aditya_mehta2012@gmail.com</t>
  </si>
  <si>
    <t>EMP009</t>
  </si>
  <si>
    <t>Kavya Nair</t>
  </si>
  <si>
    <t>kavya_nair2014@gmail.com</t>
  </si>
  <si>
    <t>EMP010</t>
  </si>
  <si>
    <t>Rahul Gupta</t>
  </si>
  <si>
    <t>rahul_gupta2008@gmail.com</t>
  </si>
  <si>
    <t>EMP011</t>
  </si>
  <si>
    <t>Ananya Roy</t>
  </si>
  <si>
    <t>Female 45</t>
  </si>
  <si>
    <t>ananya_roy2009@gmail.com</t>
  </si>
  <si>
    <t>EMP012</t>
  </si>
  <si>
    <t>Vikram Desai</t>
  </si>
  <si>
    <t>Male 31</t>
  </si>
  <si>
    <t>CSR</t>
  </si>
  <si>
    <t>vikram_desai2012@gmail.com</t>
  </si>
  <si>
    <t>EMP013</t>
  </si>
  <si>
    <t>Himanshi Khurana</t>
  </si>
  <si>
    <t>Female 34</t>
  </si>
  <si>
    <t>himanshi_khurana2016@gmail.com</t>
  </si>
  <si>
    <t>EMP014</t>
  </si>
  <si>
    <t>Arjun Rao</t>
  </si>
  <si>
    <t>Male 21</t>
  </si>
  <si>
    <t>Sales agent</t>
  </si>
  <si>
    <t>arjun_rao2018@gmail.com</t>
  </si>
  <si>
    <t>EMP015</t>
  </si>
  <si>
    <t>Meera Iyer</t>
  </si>
  <si>
    <t>Female 24</t>
  </si>
  <si>
    <t>Operation Executive</t>
  </si>
  <si>
    <t>meera_iyer2011@gmail.com</t>
  </si>
  <si>
    <t>EMP016</t>
  </si>
  <si>
    <t>Neha Joshi</t>
  </si>
  <si>
    <t>Female 32</t>
  </si>
  <si>
    <t>neha_joshi2013@gmail.com</t>
  </si>
  <si>
    <t>EMP017</t>
  </si>
  <si>
    <t>Prem Dhillon</t>
  </si>
  <si>
    <t>Male 26</t>
  </si>
  <si>
    <t>prem_dhillon2004@gmail.com</t>
  </si>
  <si>
    <t>EMP018</t>
  </si>
  <si>
    <t>Preeti Zinta</t>
  </si>
  <si>
    <t>Female 30</t>
  </si>
  <si>
    <t>preeti_zinta2009@gmail.com</t>
  </si>
  <si>
    <t>EMP019</t>
  </si>
  <si>
    <t>Pooja Sharma</t>
  </si>
  <si>
    <t>pooja_sharma2011@gmail.com</t>
  </si>
  <si>
    <t>EMP020</t>
  </si>
  <si>
    <t>Karan Singh</t>
  </si>
  <si>
    <t>Male 35</t>
  </si>
  <si>
    <t>karan_singh2002@gmail.com</t>
  </si>
  <si>
    <t>Gender</t>
  </si>
  <si>
    <t>Age</t>
  </si>
  <si>
    <t>ChiragsIngh Khusar</t>
  </si>
  <si>
    <t>Male</t>
  </si>
  <si>
    <t>Female</t>
  </si>
  <si>
    <t>Net_Salary</t>
  </si>
  <si>
    <t>Annual_Salary</t>
  </si>
  <si>
    <t>Q] CALCULATE NET SALARY</t>
  </si>
  <si>
    <t>Q] CALCULATE ANUAL SALARY</t>
  </si>
  <si>
    <t>MANAGER ASK</t>
  </si>
  <si>
    <t>1] GIVE ME THE PERFORMER EMPLYOYE WHO HAS RATING MORE THAN &amp; 5)</t>
  </si>
  <si>
    <t>2] GIVE ME THE EMPLOYE WHO IS DOING FULL-TIME WORK</t>
  </si>
  <si>
    <t>3] GIVE EMPLYOE DETAILS WHO'S ANNUAL SALARY IS MORE THAN 7LPA</t>
  </si>
  <si>
    <t>4] LIST THE EMPLOYE WHO HAS DONE MBA FOR PROMOTION PURPOSE</t>
  </si>
  <si>
    <t>5] LIST THOSE EMPLYOYE TOOK LEAVE MORE THAN 5</t>
  </si>
  <si>
    <t>Pomotion_Eligibilty</t>
  </si>
  <si>
    <t>Experience</t>
  </si>
  <si>
    <t>Salary_Increment</t>
  </si>
  <si>
    <t xml:space="preserve">        Q] SELECT EMPLOYE WHOSE RATING IS MORE THAN 5 FOR PROMOTION</t>
  </si>
  <si>
    <t>Q] GIVE THE TOTAL EXPERIENCE OF EMPLOYEE</t>
  </si>
  <si>
    <t>Q] IF EXPERIENCE IS MORE THAN 2 YRS SELECT FOR SALARY HIKE</t>
  </si>
  <si>
    <t>Leave_Taken</t>
  </si>
  <si>
    <t>Chiragsingh Khusar</t>
  </si>
  <si>
    <t>VLOOKUP</t>
  </si>
  <si>
    <t>XLOOKUP</t>
  </si>
  <si>
    <t>INDEX &amp; MATCH</t>
  </si>
  <si>
    <t>emp005</t>
  </si>
  <si>
    <t>EMP0001</t>
  </si>
  <si>
    <t>emp020</t>
  </si>
  <si>
    <t>Active Total</t>
  </si>
  <si>
    <t>Sum of Experience</t>
  </si>
  <si>
    <t>EMP001 Total</t>
  </si>
  <si>
    <t>EMP002 Total</t>
  </si>
  <si>
    <t>EMP003 Total</t>
  </si>
  <si>
    <t>EMP004 Total</t>
  </si>
  <si>
    <t>EMP005 Total</t>
  </si>
  <si>
    <t>EMP006 Total</t>
  </si>
  <si>
    <t>EMP007 Total</t>
  </si>
  <si>
    <t>EMP008 Total</t>
  </si>
  <si>
    <t>EMP009 Total</t>
  </si>
  <si>
    <t>EMP010 Total</t>
  </si>
  <si>
    <t>EMP011 Total</t>
  </si>
  <si>
    <t>Grand Total</t>
  </si>
  <si>
    <t>EMP012 Total</t>
  </si>
  <si>
    <t>EMP013 Total</t>
  </si>
  <si>
    <t>EMP014 Total</t>
  </si>
  <si>
    <t>EMP015 Total</t>
  </si>
  <si>
    <t>EMP016 Total</t>
  </si>
  <si>
    <t>EMP017 Total</t>
  </si>
  <si>
    <t>EMP018 Total</t>
  </si>
  <si>
    <t>EMP019 Total</t>
  </si>
  <si>
    <t>EMP020 Total</t>
  </si>
  <si>
    <t>Avg Experience</t>
  </si>
  <si>
    <t>Top Performers</t>
  </si>
  <si>
    <t>Avg Leave Taken</t>
  </si>
  <si>
    <t>Hybrid Employees</t>
  </si>
  <si>
    <t>2.7 yrs</t>
  </si>
  <si>
    <t>6.3 Days</t>
  </si>
  <si>
    <t>HR Analytics Dashboard</t>
  </si>
  <si>
    <t>Status</t>
  </si>
  <si>
    <t>Count</t>
  </si>
  <si>
    <t>Rating</t>
  </si>
  <si>
    <t>Employees</t>
  </si>
  <si>
    <t>Component</t>
  </si>
  <si>
    <t>Avg Amount</t>
  </si>
  <si>
    <t>Increment</t>
  </si>
  <si>
    <t>Total Employees</t>
  </si>
  <si>
    <t>Active Employees</t>
  </si>
  <si>
    <t>Avg Performance</t>
  </si>
  <si>
    <t>Avg Net Salary</t>
  </si>
  <si>
    <t>Increment Eligible</t>
  </si>
  <si>
    <t>Basis Salary</t>
  </si>
  <si>
    <t>Eligible</t>
  </si>
  <si>
    <t>Inactive</t>
  </si>
  <si>
    <t>Transport</t>
  </si>
  <si>
    <t>Not Eligible</t>
  </si>
  <si>
    <t>Other</t>
  </si>
  <si>
    <t>Medical</t>
  </si>
  <si>
    <t>HRA</t>
  </si>
  <si>
    <t>Work Mode</t>
  </si>
  <si>
    <t>People Insights Dashboard</t>
  </si>
  <si>
    <t>Experience Band</t>
  </si>
  <si>
    <t>Performer Tier</t>
  </si>
  <si>
    <t>Leave Band</t>
  </si>
  <si>
    <t>0-2 Years</t>
  </si>
  <si>
    <t>Top (8-10)</t>
  </si>
  <si>
    <t>0-3 Days</t>
  </si>
  <si>
    <t>2-5 Years</t>
  </si>
  <si>
    <t>Strong (6-7)</t>
  </si>
  <si>
    <t>4-6 Days</t>
  </si>
  <si>
    <t>5+ Years</t>
  </si>
  <si>
    <t>Average (4-5)</t>
  </si>
  <si>
    <t>7-10 Days</t>
  </si>
  <si>
    <t>Needs Support (1-3)</t>
  </si>
  <si>
    <t>10+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</si>
</sst>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 #,##0.00"/>
    <numFmt numFmtId="165" formatCode="0.0"/>
    <numFmt numFmtId="166" formatCode="\₹#,##0"/>
    <numFmt numFmtId="167" formatCode="0.0&quot; yrs&quot;"/>
    <numFmt numFmtId="168" formatCode="0.0&quot; days&quot;"/>
  </numFmts>
  <fonts count="31">
    <font>
      <sz val="11"/>
      <color theme="1"/>
      <name val="Calibri"/>
      <family val="2"/>
      <scheme val="minor"/>
    </font>
    <font>
      <sz val="11"/>
      <color rgb="FF242424"/>
      <name val="Aptos Narrow"/>
      <charset val="1"/>
    </font>
    <font>
      <u/>
      <sz val="11"/>
      <color theme="10"/>
      <name val="Calibri"/>
      <family val="2"/>
      <scheme val="minor"/>
    </font>
    <font>
      <sz val="11"/>
      <color theme="1"/>
      <name val="Aptos Narrow"/>
      <charset val="1"/>
    </font>
    <font>
      <u/>
      <sz val="11"/>
      <color theme="4"/>
      <name val="Calibri"/>
      <family val="2"/>
      <scheme val="minor"/>
    </font>
    <font>
      <sz val="11"/>
      <color theme="5" tint="-0.249977111117893"/>
      <name val="Calibri"/>
      <family val="2"/>
      <scheme val="minor"/>
    </font>
    <font>
      <sz val="11"/>
      <color theme="9" tint="-0.249977111117893"/>
      <name val="Calibri"/>
      <family val="2"/>
      <scheme val="minor"/>
    </font>
    <font>
      <sz val="11"/>
      <color rgb="FF000000"/>
      <name val="Calibri"/>
      <family val="2"/>
      <scheme val="minor"/>
    </font>
    <font>
      <b/>
      <u val="double"/>
      <sz val="11"/>
      <color theme="9" tint="-0.249977111117893"/>
      <name val="Calibri"/>
      <family val="2"/>
      <scheme val="minor"/>
    </font>
    <font>
      <b/>
      <u val="double"/>
      <sz val="11"/>
      <color rgb="FF000000"/>
      <name val="Calibri"/>
      <family val="2"/>
      <scheme val="minor"/>
    </font>
    <font>
      <sz val="11"/>
      <color rgb="FF006100"/>
      <name val="Calibri"/>
      <scheme val="minor"/>
    </font>
    <font>
      <sz val="11"/>
      <color rgb="FF9C0006"/>
      <name val="Calibri"/>
      <scheme val="minor"/>
    </font>
    <font>
      <sz val="11"/>
      <color rgb="FF9C5700"/>
      <name val="Calibri"/>
      <scheme val="minor"/>
    </font>
    <font>
      <b/>
      <sz val="11"/>
      <color theme="0"/>
      <name val="Calibri"/>
      <scheme val="minor"/>
    </font>
    <font>
      <b/>
      <sz val="11"/>
      <color rgb="FF9C5700"/>
      <name val="Calibri"/>
      <scheme val="minor"/>
    </font>
    <font>
      <b/>
      <sz val="11"/>
      <color rgb="FF9C0006"/>
      <name val="Calibri"/>
      <scheme val="minor"/>
    </font>
    <font>
      <b/>
      <strike/>
      <sz val="11"/>
      <color rgb="FF9C0006"/>
      <name val="Calibri"/>
      <scheme val="minor"/>
    </font>
    <font>
      <b/>
      <strike/>
      <sz val="11"/>
      <color rgb="FF9C5700"/>
      <name val="Calibri"/>
      <scheme val="minor"/>
    </font>
    <font>
      <strike/>
      <sz val="11"/>
      <color rgb="FF006100"/>
      <name val="Calibri"/>
      <scheme val="minor"/>
    </font>
    <font>
      <u/>
      <sz val="11"/>
      <color theme="1"/>
      <name val="Aptos Narrow"/>
      <charset val="1"/>
    </font>
    <font>
      <u/>
      <sz val="11"/>
      <color theme="1"/>
      <name val="Calibri"/>
      <family val="2"/>
      <scheme val="minor"/>
    </font>
    <font>
      <b/>
      <sz val="11"/>
      <color theme="1"/>
      <name val="Calibri"/>
      <family val="2"/>
      <scheme val="minor"/>
    </font>
    <font>
      <sz val="9"/>
      <color rgb="FF475569"/>
      <name val="Calibri"/>
      <family val="2"/>
      <scheme val="minor"/>
    </font>
    <font>
      <b/>
      <sz val="9"/>
      <color rgb="FF475569"/>
      <name val="Calibri"/>
      <family val="2"/>
      <scheme val="minor"/>
    </font>
    <font>
      <b/>
      <sz val="11"/>
      <color rgb="FFFFFFFF"/>
      <name val="Calibri"/>
      <family val="2"/>
      <scheme val="minor"/>
    </font>
    <font>
      <b/>
      <sz val="18"/>
      <color rgb="FFFFFFFF"/>
      <name val="Calibri"/>
      <family val="2"/>
      <scheme val="minor"/>
    </font>
    <font>
      <b/>
      <sz val="20"/>
      <color rgb="FF0F172A"/>
      <name val="Calibri"/>
      <family val="2"/>
      <scheme val="minor"/>
    </font>
    <font>
      <sz val="9"/>
      <color rgb="FF334155"/>
      <name val="Calibri"/>
      <family val="2"/>
      <scheme val="minor"/>
    </font>
    <font>
      <b/>
      <sz val="9"/>
      <color rgb="FF334155"/>
      <name val="Calibri"/>
      <family val="2"/>
      <scheme val="minor"/>
    </font>
    <font>
      <b/>
      <sz val="20"/>
      <color rgb="FFFFFFFF"/>
      <name val="Calibri"/>
      <family val="2"/>
      <scheme val="minor"/>
    </font>
    <font>
      <b/>
      <sz val="24"/>
      <color rgb="FF0F172A"/>
      <name val="Calibri"/>
      <family val="2"/>
      <scheme val="minor"/>
    </font>
  </fonts>
  <fills count="2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7" tint="0.79998168889431442"/>
        <bgColor indexed="64"/>
      </patternFill>
    </fill>
    <fill>
      <patternFill patternType="solid">
        <fgColor theme="0"/>
        <bgColor indexed="64"/>
      </patternFill>
    </fill>
    <fill>
      <patternFill patternType="solid">
        <fgColor theme="1"/>
        <bgColor indexed="64"/>
      </patternFill>
    </fill>
    <fill>
      <patternFill patternType="solid">
        <fgColor theme="5" tint="0.59999389629810485"/>
        <bgColor indexed="64"/>
      </patternFill>
    </fill>
    <fill>
      <patternFill patternType="solid">
        <fgColor rgb="FFA5A5A5"/>
      </patternFill>
    </fill>
    <fill>
      <patternFill patternType="solid">
        <fgColor rgb="FFEFF6FF"/>
        <bgColor indexed="64"/>
      </patternFill>
    </fill>
    <fill>
      <patternFill patternType="solid">
        <fgColor rgb="FFF5F3FF"/>
        <bgColor indexed="64"/>
      </patternFill>
    </fill>
    <fill>
      <patternFill patternType="solid">
        <fgColor rgb="FFFAFAFA"/>
        <bgColor indexed="64"/>
      </patternFill>
    </fill>
    <fill>
      <patternFill patternType="solid">
        <fgColor rgb="FF111827"/>
        <bgColor indexed="64"/>
      </patternFill>
    </fill>
    <fill>
      <patternFill patternType="solid">
        <fgColor rgb="FFFFFFFF"/>
        <bgColor indexed="64"/>
      </patternFill>
    </fill>
    <fill>
      <patternFill patternType="solid">
        <fgColor rgb="FF0EA5E9"/>
        <bgColor indexed="64"/>
      </patternFill>
    </fill>
    <fill>
      <patternFill patternType="solid">
        <fgColor rgb="FF8B5CF6"/>
        <bgColor indexed="64"/>
      </patternFill>
    </fill>
    <fill>
      <patternFill patternType="solid">
        <fgColor rgb="FFF97316"/>
        <bgColor indexed="64"/>
      </patternFill>
    </fill>
    <fill>
      <patternFill patternType="solid">
        <fgColor rgb="FF10B981"/>
        <bgColor indexed="64"/>
      </patternFill>
    </fill>
    <fill>
      <patternFill patternType="solid">
        <fgColor rgb="FFE0F2FE"/>
        <bgColor indexed="64"/>
      </patternFill>
    </fill>
    <fill>
      <patternFill patternType="solid">
        <fgColor rgb="FFF3E8FF"/>
        <bgColor indexed="64"/>
      </patternFill>
    </fill>
    <fill>
      <patternFill patternType="solid">
        <fgColor rgb="FFFFEDD5"/>
        <bgColor indexed="64"/>
      </patternFill>
    </fill>
    <fill>
      <patternFill patternType="solid">
        <fgColor rgb="FFDCFCE7"/>
        <bgColor indexed="64"/>
      </patternFill>
    </fill>
  </fills>
  <borders count="4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double">
        <color rgb="FF3F3F3F"/>
      </left>
      <right style="double">
        <color rgb="FF3F3F3F"/>
      </right>
      <top style="double">
        <color rgb="FF3F3F3F"/>
      </top>
      <bottom style="double">
        <color rgb="FF3F3F3F"/>
      </bottom>
      <diagonal/>
    </border>
    <border>
      <left style="thin">
        <color rgb="FFE2E8F0"/>
      </left>
      <right style="thin">
        <color rgb="FFE2E8F0"/>
      </right>
      <top style="thin">
        <color rgb="FFE2E8F0"/>
      </top>
      <bottom style="thin">
        <color rgb="FFE2E8F0"/>
      </bottom>
      <diagonal/>
    </border>
    <border>
      <left/>
      <right/>
      <top style="medium">
        <color rgb="FF0EA5E9"/>
      </top>
      <bottom/>
      <diagonal/>
    </border>
    <border>
      <left/>
      <right/>
      <top/>
      <bottom style="medium">
        <color rgb="FF0EA5E9"/>
      </bottom>
      <diagonal/>
    </border>
    <border>
      <left style="medium">
        <color rgb="FF0EA5E9"/>
      </left>
      <right/>
      <top style="medium">
        <color rgb="FF0EA5E9"/>
      </top>
      <bottom/>
      <diagonal/>
    </border>
    <border>
      <left style="medium">
        <color rgb="FF0EA5E9"/>
      </left>
      <right/>
      <top/>
      <bottom/>
      <diagonal/>
    </border>
    <border>
      <left style="medium">
        <color rgb="FF0EA5E9"/>
      </left>
      <right/>
      <top/>
      <bottom style="medium">
        <color rgb="FF0EA5E9"/>
      </bottom>
      <diagonal/>
    </border>
    <border>
      <left style="medium">
        <color rgb="FF8B5CF6"/>
      </left>
      <right/>
      <top/>
      <bottom/>
      <diagonal/>
    </border>
    <border>
      <left style="medium">
        <color rgb="FF8B5CF6"/>
      </left>
      <right/>
      <top style="medium">
        <color rgb="FF8B5CF6"/>
      </top>
      <bottom/>
      <diagonal/>
    </border>
    <border>
      <left/>
      <right/>
      <top style="medium">
        <color rgb="FF8B5CF6"/>
      </top>
      <bottom/>
      <diagonal/>
    </border>
    <border>
      <left style="medium">
        <color rgb="FF8B5CF6"/>
      </left>
      <right/>
      <top/>
      <bottom style="medium">
        <color rgb="FF8B5CF6"/>
      </bottom>
      <diagonal/>
    </border>
    <border>
      <left/>
      <right/>
      <top/>
      <bottom style="medium">
        <color rgb="FF8B5CF6"/>
      </bottom>
      <diagonal/>
    </border>
    <border>
      <left/>
      <right style="medium">
        <color rgb="FF8B5CF6"/>
      </right>
      <top/>
      <bottom/>
      <diagonal/>
    </border>
    <border>
      <left style="medium">
        <color rgb="FFF97316"/>
      </left>
      <right/>
      <top/>
      <bottom/>
      <diagonal/>
    </border>
    <border>
      <left style="medium">
        <color rgb="FFF97316"/>
      </left>
      <right/>
      <top style="medium">
        <color rgb="FFF97316"/>
      </top>
      <bottom/>
      <diagonal/>
    </border>
    <border>
      <left/>
      <right/>
      <top style="medium">
        <color rgb="FFF97316"/>
      </top>
      <bottom/>
      <diagonal/>
    </border>
    <border>
      <left style="medium">
        <color rgb="FFF97316"/>
      </left>
      <right/>
      <top/>
      <bottom style="medium">
        <color rgb="FFF97316"/>
      </bottom>
      <diagonal/>
    </border>
    <border>
      <left/>
      <right/>
      <top/>
      <bottom style="medium">
        <color rgb="FFF97316"/>
      </bottom>
      <diagonal/>
    </border>
    <border>
      <left/>
      <right style="medium">
        <color rgb="FFF97316"/>
      </right>
      <top/>
      <bottom/>
      <diagonal/>
    </border>
    <border>
      <left style="medium">
        <color rgb="FF10B981"/>
      </left>
      <right/>
      <top/>
      <bottom/>
      <diagonal/>
    </border>
    <border>
      <left style="medium">
        <color rgb="FF10B981"/>
      </left>
      <right/>
      <top style="medium">
        <color rgb="FF10B981"/>
      </top>
      <bottom/>
      <diagonal/>
    </border>
    <border>
      <left/>
      <right/>
      <top style="medium">
        <color rgb="FF10B981"/>
      </top>
      <bottom/>
      <diagonal/>
    </border>
    <border>
      <left style="medium">
        <color rgb="FF10B981"/>
      </left>
      <right/>
      <top/>
      <bottom style="medium">
        <color rgb="FF10B981"/>
      </bottom>
      <diagonal/>
    </border>
    <border>
      <left/>
      <right/>
      <top/>
      <bottom style="medium">
        <color rgb="FF10B981"/>
      </bottom>
      <diagonal/>
    </border>
    <border>
      <left/>
      <right style="medium">
        <color rgb="FF10B981"/>
      </right>
      <top style="medium">
        <color rgb="FF10B981"/>
      </top>
      <bottom/>
      <diagonal/>
    </border>
    <border>
      <left/>
      <right style="medium">
        <color rgb="FF10B981"/>
      </right>
      <top/>
      <bottom/>
      <diagonal/>
    </border>
    <border>
      <left/>
      <right style="medium">
        <color rgb="FF10B981"/>
      </right>
      <top/>
      <bottom style="medium">
        <color rgb="FF10B981"/>
      </bottom>
      <diagonal/>
    </border>
    <border>
      <left style="thin">
        <color rgb="FFCBD5E1"/>
      </left>
      <right style="thin">
        <color rgb="FFCBD5E1"/>
      </right>
      <top style="thin">
        <color rgb="FFCBD5E1"/>
      </top>
      <bottom style="thin">
        <color rgb="FFCBD5E1"/>
      </bottom>
      <diagonal/>
    </border>
    <border>
      <left/>
      <right style="medium">
        <color rgb="FF8B5CF6"/>
      </right>
      <top/>
      <bottom style="medium">
        <color rgb="FF0EA5E9"/>
      </bottom>
      <diagonal/>
    </border>
    <border>
      <left/>
      <right style="medium">
        <color rgb="FFF97316"/>
      </right>
      <top/>
      <bottom style="medium">
        <color rgb="FF8B5CF6"/>
      </bottom>
      <diagonal/>
    </border>
    <border>
      <left/>
      <right style="medium">
        <color rgb="FF10B981"/>
      </right>
      <top/>
      <bottom style="medium">
        <color rgb="FFF97316"/>
      </bottom>
      <diagonal/>
    </border>
    <border>
      <left/>
      <right style="medium">
        <color rgb="FF10B981"/>
      </right>
      <top style="medium">
        <color rgb="FFF97316"/>
      </top>
      <bottom/>
      <diagonal/>
    </border>
  </borders>
  <cellStyleXfs count="6">
    <xf numFmtId="0" fontId="0" fillId="0" borderId="0"/>
    <xf numFmtId="0" fontId="2"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9" borderId="11" applyNumberFormat="0" applyAlignment="0" applyProtection="0"/>
  </cellStyleXfs>
  <cellXfs count="174">
    <xf numFmtId="0" fontId="0" fillId="0" borderId="0" xfId="0"/>
    <xf numFmtId="0" fontId="1" fillId="0" borderId="0" xfId="0" applyFont="1"/>
    <xf numFmtId="14" fontId="0" fillId="0" borderId="0" xfId="0" applyNumberFormat="1"/>
    <xf numFmtId="0" fontId="2" fillId="0" borderId="0" xfId="1"/>
    <xf numFmtId="0" fontId="1" fillId="0" borderId="0" xfId="0" applyFont="1" applyAlignment="1">
      <alignment horizontal="center"/>
    </xf>
    <xf numFmtId="0" fontId="0" fillId="0" borderId="0" xfId="0" applyAlignment="1">
      <alignment horizontal="center"/>
    </xf>
    <xf numFmtId="14" fontId="0" fillId="0" borderId="0" xfId="0" applyNumberFormat="1" applyAlignment="1">
      <alignment horizontal="center"/>
    </xf>
    <xf numFmtId="0" fontId="0" fillId="0" borderId="0" xfId="0" applyAlignment="1">
      <alignment horizontal="left"/>
    </xf>
    <xf numFmtId="0" fontId="2" fillId="0" borderId="0" xfId="1" applyAlignment="1">
      <alignment horizontal="left"/>
    </xf>
    <xf numFmtId="0" fontId="0" fillId="0" borderId="0" xfId="0" applyAlignment="1"/>
    <xf numFmtId="0" fontId="1" fillId="0" borderId="1" xfId="0" applyFont="1" applyBorder="1"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164" fontId="0" fillId="0" borderId="1" xfId="0" applyNumberFormat="1" applyBorder="1" applyAlignment="1">
      <alignment horizontal="center"/>
    </xf>
    <xf numFmtId="164" fontId="0" fillId="0" borderId="1" xfId="0" applyNumberFormat="1" applyBorder="1"/>
    <xf numFmtId="0" fontId="0" fillId="0" borderId="3" xfId="0" applyBorder="1" applyAlignment="1">
      <alignment horizontal="center"/>
    </xf>
    <xf numFmtId="0" fontId="1" fillId="0" borderId="3" xfId="0" applyFont="1" applyBorder="1" applyAlignment="1">
      <alignment horizontal="center"/>
    </xf>
    <xf numFmtId="14" fontId="0" fillId="0" borderId="3" xfId="0" applyNumberFormat="1" applyBorder="1" applyAlignment="1">
      <alignment horizontal="center"/>
    </xf>
    <xf numFmtId="164" fontId="0" fillId="0" borderId="3" xfId="0" applyNumberFormat="1" applyBorder="1" applyAlignment="1">
      <alignment horizontal="center"/>
    </xf>
    <xf numFmtId="164" fontId="0" fillId="0" borderId="3" xfId="0" applyNumberFormat="1" applyBorder="1"/>
    <xf numFmtId="0" fontId="0" fillId="0" borderId="5" xfId="0" applyBorder="1" applyAlignment="1">
      <alignment horizontal="center"/>
    </xf>
    <xf numFmtId="0" fontId="0" fillId="0" borderId="6" xfId="0" applyBorder="1" applyAlignment="1">
      <alignment horizontal="center"/>
    </xf>
    <xf numFmtId="164" fontId="0" fillId="0" borderId="8" xfId="0" applyNumberFormat="1" applyBorder="1"/>
    <xf numFmtId="164" fontId="0" fillId="0" borderId="9" xfId="0" applyNumberFormat="1" applyBorder="1"/>
    <xf numFmtId="0" fontId="0" fillId="0" borderId="2" xfId="0" applyFont="1" applyBorder="1" applyAlignment="1">
      <alignment horizontal="left"/>
    </xf>
    <xf numFmtId="0" fontId="4" fillId="0" borderId="1" xfId="1" applyFont="1" applyBorder="1" applyAlignment="1">
      <alignment horizontal="left"/>
    </xf>
    <xf numFmtId="0" fontId="4" fillId="0" borderId="3" xfId="1" applyFont="1" applyBorder="1" applyAlignment="1">
      <alignment horizontal="left"/>
    </xf>
    <xf numFmtId="0" fontId="3" fillId="0" borderId="4" xfId="0" applyFont="1" applyBorder="1" applyAlignment="1">
      <alignment horizontal="left"/>
    </xf>
    <xf numFmtId="0" fontId="3" fillId="0" borderId="2" xfId="0" applyFont="1" applyBorder="1" applyAlignment="1">
      <alignment horizontal="left"/>
    </xf>
    <xf numFmtId="0" fontId="0" fillId="0" borderId="0" xfId="0" applyFont="1" applyAlignment="1">
      <alignment horizontal="left"/>
    </xf>
    <xf numFmtId="0" fontId="0" fillId="0" borderId="0" xfId="0" applyFill="1" applyBorder="1"/>
    <xf numFmtId="0" fontId="0" fillId="0" borderId="0" xfId="0" applyFill="1" applyBorder="1" applyAlignment="1"/>
    <xf numFmtId="0" fontId="5" fillId="0" borderId="0" xfId="0" applyFont="1" applyFill="1" applyBorder="1" applyAlignment="1"/>
    <xf numFmtId="0" fontId="6" fillId="0" borderId="0" xfId="0" applyFont="1" applyFill="1" applyBorder="1" applyAlignment="1"/>
    <xf numFmtId="164" fontId="0" fillId="0" borderId="2" xfId="0" applyNumberFormat="1" applyBorder="1" applyAlignment="1">
      <alignment horizontal="center"/>
    </xf>
    <xf numFmtId="0" fontId="7" fillId="0" borderId="0" xfId="0" applyFont="1"/>
    <xf numFmtId="165" fontId="0" fillId="0" borderId="7" xfId="0" applyNumberFormat="1" applyBorder="1" applyAlignment="1">
      <alignment horizontal="center"/>
    </xf>
    <xf numFmtId="165" fontId="0" fillId="0" borderId="8" xfId="0" applyNumberFormat="1" applyBorder="1" applyAlignment="1">
      <alignment horizontal="center"/>
    </xf>
    <xf numFmtId="165" fontId="0" fillId="0" borderId="9" xfId="0" applyNumberFormat="1" applyBorder="1" applyAlignment="1">
      <alignment horizontal="center"/>
    </xf>
    <xf numFmtId="0" fontId="0" fillId="0" borderId="10" xfId="0" applyFont="1" applyBorder="1" applyAlignment="1">
      <alignment horizontal="left"/>
    </xf>
    <xf numFmtId="0" fontId="3" fillId="0" borderId="4" xfId="0" applyFont="1" applyBorder="1" applyAlignment="1">
      <alignment horizontal="center" vertical="top"/>
    </xf>
    <xf numFmtId="0" fontId="0" fillId="0" borderId="2" xfId="0" applyFont="1" applyBorder="1" applyAlignment="1">
      <alignment horizontal="center" vertical="top"/>
    </xf>
    <xf numFmtId="0" fontId="3" fillId="0" borderId="2" xfId="0" applyFont="1" applyBorder="1" applyAlignment="1">
      <alignment horizontal="center" vertical="top"/>
    </xf>
    <xf numFmtId="0" fontId="0" fillId="0" borderId="7" xfId="0" applyFont="1" applyBorder="1" applyAlignment="1">
      <alignment horizontal="center" vertical="top"/>
    </xf>
    <xf numFmtId="0" fontId="0" fillId="0" borderId="0" xfId="0" applyFont="1" applyAlignment="1">
      <alignment horizontal="center" vertical="top"/>
    </xf>
    <xf numFmtId="0" fontId="0" fillId="6" borderId="0" xfId="0" applyFill="1" applyBorder="1" applyAlignment="1"/>
    <xf numFmtId="0" fontId="7" fillId="6" borderId="0" xfId="0" applyFont="1" applyFill="1" applyBorder="1" applyAlignment="1"/>
    <xf numFmtId="0" fontId="5" fillId="6" borderId="0" xfId="0" applyFont="1" applyFill="1" applyBorder="1" applyAlignment="1"/>
    <xf numFmtId="0" fontId="0" fillId="0" borderId="0" xfId="0" applyFill="1"/>
    <xf numFmtId="0" fontId="5" fillId="5" borderId="0" xfId="0" applyFont="1" applyFill="1"/>
    <xf numFmtId="0" fontId="0" fillId="0" borderId="0" xfId="0" applyBorder="1"/>
    <xf numFmtId="0" fontId="0" fillId="0" borderId="0" xfId="0" applyBorder="1" applyAlignment="1">
      <alignment horizontal="left"/>
    </xf>
    <xf numFmtId="0" fontId="0" fillId="6" borderId="0" xfId="0" applyFill="1" applyBorder="1"/>
    <xf numFmtId="0" fontId="13" fillId="7" borderId="11" xfId="4" applyFont="1" applyFill="1" applyBorder="1" applyAlignment="1">
      <alignment horizontal="center"/>
    </xf>
    <xf numFmtId="0" fontId="14" fillId="4" borderId="11" xfId="4" applyFont="1" applyBorder="1" applyAlignment="1">
      <alignment horizontal="center"/>
    </xf>
    <xf numFmtId="165" fontId="14" fillId="4" borderId="11" xfId="4" applyNumberFormat="1" applyFont="1" applyBorder="1" applyAlignment="1">
      <alignment horizontal="center"/>
    </xf>
    <xf numFmtId="0" fontId="15" fillId="3" borderId="11" xfId="3" applyFont="1" applyBorder="1" applyAlignment="1">
      <alignment horizontal="center"/>
    </xf>
    <xf numFmtId="0" fontId="13" fillId="7" borderId="11" xfId="3" applyFont="1" applyFill="1" applyBorder="1" applyAlignment="1">
      <alignment horizontal="center"/>
    </xf>
    <xf numFmtId="0" fontId="13" fillId="7" borderId="11" xfId="5" applyFont="1" applyFill="1" applyAlignment="1">
      <alignment horizontal="center"/>
    </xf>
    <xf numFmtId="0" fontId="10" fillId="2" borderId="11" xfId="2" applyBorder="1" applyAlignment="1">
      <alignment horizontal="center"/>
    </xf>
    <xf numFmtId="0" fontId="19" fillId="0" borderId="4" xfId="0" applyFont="1" applyBorder="1" applyAlignment="1">
      <alignment horizontal="center"/>
    </xf>
    <xf numFmtId="0" fontId="20" fillId="0" borderId="2" xfId="0" applyFont="1" applyBorder="1" applyAlignment="1">
      <alignment horizontal="center"/>
    </xf>
    <xf numFmtId="0" fontId="19" fillId="0" borderId="2" xfId="0" applyFont="1" applyBorder="1" applyAlignment="1">
      <alignment horizontal="center"/>
    </xf>
    <xf numFmtId="0" fontId="20" fillId="0" borderId="10" xfId="0" applyFont="1" applyBorder="1" applyAlignment="1">
      <alignment horizontal="center"/>
    </xf>
    <xf numFmtId="0" fontId="20" fillId="0" borderId="0" xfId="0" applyFont="1" applyAlignment="1">
      <alignment horizontal="center"/>
    </xf>
    <xf numFmtId="0" fontId="0" fillId="0" borderId="0" xfId="0" pivotButton="1"/>
    <xf numFmtId="165" fontId="0" fillId="0" borderId="0" xfId="0" applyNumberFormat="1"/>
    <xf numFmtId="0" fontId="0" fillId="6" borderId="0" xfId="0" applyFill="1" applyBorder="1" applyAlignment="1">
      <alignment horizontal="left"/>
    </xf>
    <xf numFmtId="0" fontId="13" fillId="6" borderId="0" xfId="3" applyFont="1" applyFill="1" applyBorder="1" applyAlignment="1">
      <alignment horizontal="center"/>
    </xf>
    <xf numFmtId="0" fontId="13" fillId="6" borderId="0" xfId="4" applyFont="1" applyFill="1" applyBorder="1" applyAlignment="1">
      <alignment horizontal="center"/>
    </xf>
    <xf numFmtId="0" fontId="13" fillId="6" borderId="0" xfId="5" applyFont="1" applyFill="1" applyBorder="1" applyAlignment="1">
      <alignment horizontal="center"/>
    </xf>
    <xf numFmtId="0" fontId="15" fillId="6" borderId="0" xfId="3" applyFont="1" applyFill="1" applyBorder="1" applyAlignment="1">
      <alignment horizontal="center"/>
    </xf>
    <xf numFmtId="0" fontId="14" fillId="6" borderId="0" xfId="4" applyFont="1" applyFill="1" applyBorder="1" applyAlignment="1">
      <alignment horizontal="center"/>
    </xf>
    <xf numFmtId="165" fontId="14" fillId="6" borderId="0" xfId="4" applyNumberFormat="1" applyFont="1" applyFill="1" applyBorder="1" applyAlignment="1">
      <alignment horizontal="center"/>
    </xf>
    <xf numFmtId="0" fontId="10" fillId="6" borderId="0" xfId="2" applyFill="1" applyBorder="1" applyAlignment="1">
      <alignment horizontal="center"/>
    </xf>
    <xf numFmtId="0" fontId="0" fillId="0" borderId="0" xfId="0" applyAlignment="1">
      <alignment horizontal="center" vertical="center"/>
    </xf>
    <xf numFmtId="166" fontId="0" fillId="0" borderId="0" xfId="0" applyNumberFormat="1" applyAlignment="1">
      <alignment horizontal="center" vertical="center"/>
    </xf>
    <xf numFmtId="0" fontId="21" fillId="10" borderId="0" xfId="0" applyFont="1" applyFill="1" applyAlignment="1">
      <alignment horizontal="center" vertical="center"/>
    </xf>
    <xf numFmtId="0" fontId="21" fillId="11" borderId="0" xfId="0" applyFont="1" applyFill="1" applyAlignment="1">
      <alignment horizontal="center" vertical="center"/>
    </xf>
    <xf numFmtId="0" fontId="0" fillId="10" borderId="0" xfId="0" applyFill="1" applyAlignment="1">
      <alignment horizontal="center" vertical="center"/>
    </xf>
    <xf numFmtId="0" fontId="0" fillId="11" borderId="0" xfId="0" applyFill="1" applyAlignment="1">
      <alignment horizontal="center" vertical="center"/>
    </xf>
    <xf numFmtId="0" fontId="0" fillId="0" borderId="0" xfId="0" applyBorder="1" applyAlignment="1">
      <alignment horizontal="center" vertical="center"/>
    </xf>
    <xf numFmtId="0" fontId="22" fillId="12" borderId="12" xfId="0" applyFont="1" applyFill="1" applyBorder="1"/>
    <xf numFmtId="0" fontId="23" fillId="12" borderId="12" xfId="0" applyFont="1" applyFill="1" applyBorder="1"/>
    <xf numFmtId="166" fontId="22" fillId="12" borderId="12" xfId="0" applyNumberFormat="1" applyFont="1" applyFill="1" applyBorder="1"/>
    <xf numFmtId="0" fontId="28" fillId="19" borderId="38" xfId="0" applyFont="1" applyFill="1" applyBorder="1"/>
    <xf numFmtId="0" fontId="21" fillId="0" borderId="0" xfId="0" applyFont="1"/>
    <xf numFmtId="0" fontId="28" fillId="20" borderId="38" xfId="0" applyFont="1" applyFill="1" applyBorder="1"/>
    <xf numFmtId="0" fontId="28" fillId="21" borderId="38" xfId="0" applyFont="1" applyFill="1" applyBorder="1"/>
    <xf numFmtId="0" fontId="28" fillId="22" borderId="38" xfId="0" applyFont="1" applyFill="1" applyBorder="1"/>
    <xf numFmtId="0" fontId="27" fillId="19" borderId="38" xfId="0" applyFont="1" applyFill="1" applyBorder="1" applyAlignment="1">
      <alignment horizontal="center"/>
    </xf>
    <xf numFmtId="0" fontId="27" fillId="20" borderId="38" xfId="0" applyFont="1" applyFill="1" applyBorder="1" applyAlignment="1">
      <alignment horizontal="center"/>
    </xf>
    <xf numFmtId="0" fontId="27" fillId="21" borderId="38" xfId="0" applyFont="1" applyFill="1" applyBorder="1" applyAlignment="1">
      <alignment horizontal="center"/>
    </xf>
    <xf numFmtId="0" fontId="27" fillId="22" borderId="38" xfId="0" applyFont="1" applyFill="1" applyBorder="1" applyAlignment="1">
      <alignment horizontal="center"/>
    </xf>
    <xf numFmtId="0" fontId="29" fillId="18" borderId="31" xfId="0" applyFont="1" applyFill="1" applyBorder="1" applyAlignment="1">
      <alignment horizontal="center" vertical="center"/>
    </xf>
    <xf numFmtId="0" fontId="29" fillId="18" borderId="32" xfId="0" applyFont="1" applyFill="1" applyBorder="1" applyAlignment="1">
      <alignment horizontal="center" vertical="center"/>
    </xf>
    <xf numFmtId="0" fontId="29" fillId="18" borderId="35" xfId="0" applyFont="1" applyFill="1" applyBorder="1" applyAlignment="1">
      <alignment horizontal="center" vertical="center"/>
    </xf>
    <xf numFmtId="168" fontId="30" fillId="14" borderId="24" xfId="0" applyNumberFormat="1" applyFont="1" applyFill="1" applyBorder="1" applyAlignment="1">
      <alignment horizontal="center" vertical="center"/>
    </xf>
    <xf numFmtId="168" fontId="30" fillId="14" borderId="0" xfId="0" applyNumberFormat="1" applyFont="1" applyFill="1" applyBorder="1" applyAlignment="1">
      <alignment horizontal="center" vertical="center"/>
    </xf>
    <xf numFmtId="168" fontId="30" fillId="14" borderId="36" xfId="0" applyNumberFormat="1" applyFont="1" applyFill="1" applyBorder="1" applyAlignment="1">
      <alignment horizontal="center" vertical="center"/>
    </xf>
    <xf numFmtId="168" fontId="30" fillId="14" borderId="27" xfId="0" applyNumberFormat="1" applyFont="1" applyFill="1" applyBorder="1" applyAlignment="1">
      <alignment horizontal="center" vertical="center"/>
    </xf>
    <xf numFmtId="168" fontId="30" fillId="14" borderId="28" xfId="0" applyNumberFormat="1" applyFont="1" applyFill="1" applyBorder="1" applyAlignment="1">
      <alignment horizontal="center" vertical="center"/>
    </xf>
    <xf numFmtId="168" fontId="30" fillId="14" borderId="41" xfId="0" applyNumberFormat="1" applyFont="1" applyFill="1" applyBorder="1" applyAlignment="1">
      <alignment horizontal="center" vertical="center"/>
    </xf>
    <xf numFmtId="0" fontId="30" fillId="14" borderId="30" xfId="0" applyFont="1" applyFill="1" applyBorder="1" applyAlignment="1">
      <alignment horizontal="center" vertical="center"/>
    </xf>
    <xf numFmtId="0" fontId="30" fillId="14" borderId="0" xfId="0" applyFont="1" applyFill="1" applyBorder="1" applyAlignment="1">
      <alignment horizontal="center" vertical="center"/>
    </xf>
    <xf numFmtId="0" fontId="30" fillId="14" borderId="36" xfId="0" applyFont="1" applyFill="1" applyBorder="1" applyAlignment="1">
      <alignment horizontal="center" vertical="center"/>
    </xf>
    <xf numFmtId="0" fontId="30" fillId="14" borderId="33" xfId="0" applyFont="1" applyFill="1" applyBorder="1" applyAlignment="1">
      <alignment horizontal="center" vertical="center"/>
    </xf>
    <xf numFmtId="0" fontId="30" fillId="14" borderId="34" xfId="0" applyFont="1" applyFill="1" applyBorder="1" applyAlignment="1">
      <alignment horizontal="center" vertical="center"/>
    </xf>
    <xf numFmtId="0" fontId="30" fillId="14" borderId="37" xfId="0" applyFont="1" applyFill="1" applyBorder="1" applyAlignment="1">
      <alignment horizontal="center" vertical="center"/>
    </xf>
    <xf numFmtId="0" fontId="25" fillId="6" borderId="0" xfId="0" applyFont="1" applyFill="1" applyAlignment="1">
      <alignment horizontal="center" vertical="center"/>
    </xf>
    <xf numFmtId="0" fontId="29" fillId="6" borderId="0" xfId="0" applyFont="1" applyFill="1" applyBorder="1" applyAlignment="1">
      <alignment horizontal="center" vertical="center"/>
    </xf>
    <xf numFmtId="0" fontId="29" fillId="15" borderId="15" xfId="0" applyFont="1" applyFill="1" applyBorder="1" applyAlignment="1">
      <alignment horizontal="center" vertical="center"/>
    </xf>
    <xf numFmtId="0" fontId="29" fillId="15" borderId="13" xfId="0" applyFont="1" applyFill="1" applyBorder="1" applyAlignment="1">
      <alignment horizontal="center" vertical="center"/>
    </xf>
    <xf numFmtId="0" fontId="26" fillId="6" borderId="0" xfId="0" applyFont="1" applyFill="1" applyBorder="1" applyAlignment="1">
      <alignment horizontal="center" vertical="center"/>
    </xf>
    <xf numFmtId="167" fontId="30" fillId="6" borderId="0" xfId="0" applyNumberFormat="1" applyFont="1" applyFill="1" applyBorder="1" applyAlignment="1">
      <alignment horizontal="center" vertical="center"/>
    </xf>
    <xf numFmtId="0" fontId="30" fillId="6" borderId="0" xfId="0" applyFont="1" applyFill="1" applyBorder="1" applyAlignment="1">
      <alignment horizontal="center" vertical="center"/>
    </xf>
    <xf numFmtId="168" fontId="30" fillId="6" borderId="0" xfId="0" applyNumberFormat="1" applyFont="1" applyFill="1" applyBorder="1" applyAlignment="1">
      <alignment horizontal="center" vertical="center"/>
    </xf>
    <xf numFmtId="167" fontId="30" fillId="14" borderId="16" xfId="0" applyNumberFormat="1" applyFont="1" applyFill="1" applyBorder="1" applyAlignment="1">
      <alignment horizontal="center" vertical="center"/>
    </xf>
    <xf numFmtId="167" fontId="30" fillId="14" borderId="0" xfId="0" applyNumberFormat="1" applyFont="1" applyFill="1" applyBorder="1" applyAlignment="1">
      <alignment horizontal="center" vertical="center"/>
    </xf>
    <xf numFmtId="167" fontId="30" fillId="14" borderId="23" xfId="0" applyNumberFormat="1" applyFont="1" applyFill="1" applyBorder="1" applyAlignment="1">
      <alignment horizontal="center" vertical="center"/>
    </xf>
    <xf numFmtId="167" fontId="30" fillId="14" borderId="17" xfId="0" applyNumberFormat="1" applyFont="1" applyFill="1" applyBorder="1" applyAlignment="1">
      <alignment horizontal="center" vertical="center"/>
    </xf>
    <xf numFmtId="167" fontId="30" fillId="14" borderId="14" xfId="0" applyNumberFormat="1" applyFont="1" applyFill="1" applyBorder="1" applyAlignment="1">
      <alignment horizontal="center" vertical="center"/>
    </xf>
    <xf numFmtId="167" fontId="30" fillId="14" borderId="39" xfId="0" applyNumberFormat="1" applyFont="1" applyFill="1" applyBorder="1" applyAlignment="1">
      <alignment horizontal="center" vertical="center"/>
    </xf>
    <xf numFmtId="0" fontId="30" fillId="14" borderId="18" xfId="0" applyFont="1" applyFill="1" applyBorder="1" applyAlignment="1">
      <alignment horizontal="center" vertical="center"/>
    </xf>
    <xf numFmtId="0" fontId="30" fillId="14" borderId="29" xfId="0" applyFont="1" applyFill="1" applyBorder="1" applyAlignment="1">
      <alignment horizontal="center" vertical="center"/>
    </xf>
    <xf numFmtId="0" fontId="30" fillId="14" borderId="21" xfId="0" applyFont="1" applyFill="1" applyBorder="1" applyAlignment="1">
      <alignment horizontal="center" vertical="center"/>
    </xf>
    <xf numFmtId="0" fontId="30" fillId="14" borderId="22" xfId="0" applyFont="1" applyFill="1" applyBorder="1" applyAlignment="1">
      <alignment horizontal="center" vertical="center"/>
    </xf>
    <xf numFmtId="0" fontId="30" fillId="14" borderId="40" xfId="0" applyFont="1" applyFill="1" applyBorder="1" applyAlignment="1">
      <alignment horizontal="center" vertical="center"/>
    </xf>
    <xf numFmtId="0" fontId="29" fillId="17" borderId="25" xfId="0" applyFont="1" applyFill="1" applyBorder="1" applyAlignment="1">
      <alignment horizontal="center" vertical="center"/>
    </xf>
    <xf numFmtId="0" fontId="29" fillId="17" borderId="26" xfId="0" applyFont="1" applyFill="1" applyBorder="1" applyAlignment="1">
      <alignment horizontal="center" vertical="center"/>
    </xf>
    <xf numFmtId="0" fontId="29" fillId="17" borderId="42" xfId="0" applyFont="1" applyFill="1" applyBorder="1" applyAlignment="1">
      <alignment horizontal="center" vertical="center"/>
    </xf>
    <xf numFmtId="0" fontId="29" fillId="16" borderId="19" xfId="0" applyFont="1" applyFill="1" applyBorder="1" applyAlignment="1">
      <alignment horizontal="center" vertical="center"/>
    </xf>
    <xf numFmtId="0" fontId="29" fillId="16" borderId="20" xfId="0" applyFont="1" applyFill="1" applyBorder="1" applyAlignment="1">
      <alignment horizontal="center" vertical="center"/>
    </xf>
    <xf numFmtId="0" fontId="24" fillId="6" borderId="0" xfId="0" applyFont="1" applyFill="1" applyBorder="1" applyAlignment="1">
      <alignment horizontal="center" vertical="center"/>
    </xf>
    <xf numFmtId="167" fontId="26" fillId="6" borderId="0" xfId="0" applyNumberFormat="1" applyFont="1" applyFill="1" applyBorder="1" applyAlignment="1">
      <alignment horizontal="center" vertical="center"/>
    </xf>
    <xf numFmtId="168" fontId="26" fillId="6" borderId="0" xfId="0" applyNumberFormat="1" applyFont="1" applyFill="1" applyBorder="1" applyAlignment="1">
      <alignment horizontal="center" vertical="center"/>
    </xf>
    <xf numFmtId="0" fontId="8" fillId="5" borderId="0" xfId="0" applyFont="1" applyFill="1" applyAlignment="1">
      <alignment horizontal="center"/>
    </xf>
    <xf numFmtId="0" fontId="0" fillId="8" borderId="0" xfId="0" applyFill="1" applyBorder="1" applyAlignment="1">
      <alignment horizontal="center"/>
    </xf>
    <xf numFmtId="0" fontId="7" fillId="8" borderId="0" xfId="0" applyFont="1" applyFill="1" applyBorder="1" applyAlignment="1">
      <alignment horizontal="center"/>
    </xf>
    <xf numFmtId="0" fontId="9" fillId="8" borderId="0" xfId="0" applyFont="1" applyFill="1" applyAlignment="1">
      <alignment horizontal="center"/>
    </xf>
    <xf numFmtId="0" fontId="16" fillId="3" borderId="11" xfId="3" applyFont="1" applyBorder="1" applyAlignment="1">
      <alignment horizontal="center"/>
    </xf>
    <xf numFmtId="0" fontId="17" fillId="4" borderId="11" xfId="4" applyFont="1" applyBorder="1" applyAlignment="1">
      <alignment horizontal="center"/>
    </xf>
    <xf numFmtId="9" fontId="18" fillId="2" borderId="11" xfId="2" applyNumberFormat="1" applyFont="1" applyBorder="1" applyAlignment="1">
      <alignment horizontal="center"/>
    </xf>
    <xf numFmtId="0" fontId="25" fillId="13" borderId="0" xfId="0" applyFont="1" applyFill="1" applyAlignment="1">
      <alignment horizontal="center" vertical="center"/>
    </xf>
    <xf numFmtId="0" fontId="26" fillId="14" borderId="30" xfId="0" applyFont="1" applyFill="1" applyBorder="1" applyAlignment="1">
      <alignment horizontal="center" vertical="center"/>
    </xf>
    <xf numFmtId="0" fontId="26" fillId="14" borderId="0" xfId="0" applyFont="1" applyFill="1" applyBorder="1" applyAlignment="1">
      <alignment horizontal="center" vertical="center"/>
    </xf>
    <xf numFmtId="0" fontId="26" fillId="14" borderId="36" xfId="0" applyFont="1" applyFill="1" applyBorder="1" applyAlignment="1">
      <alignment horizontal="center" vertical="center"/>
    </xf>
    <xf numFmtId="168" fontId="26" fillId="14" borderId="24" xfId="0" applyNumberFormat="1" applyFont="1" applyFill="1" applyBorder="1" applyAlignment="1">
      <alignment horizontal="center" vertical="center"/>
    </xf>
    <xf numFmtId="0" fontId="26" fillId="14" borderId="18" xfId="0" applyFont="1" applyFill="1" applyBorder="1" applyAlignment="1">
      <alignment horizontal="center" vertical="center"/>
    </xf>
    <xf numFmtId="167" fontId="26" fillId="14" borderId="16" xfId="0" applyNumberFormat="1" applyFont="1" applyFill="1" applyBorder="1" applyAlignment="1">
      <alignment horizontal="center" vertical="center"/>
    </xf>
    <xf numFmtId="0" fontId="24" fillId="18" borderId="31" xfId="0" applyFont="1" applyFill="1" applyBorder="1" applyAlignment="1">
      <alignment horizontal="center" vertical="center"/>
    </xf>
    <xf numFmtId="0" fontId="24" fillId="18" borderId="32" xfId="0" applyFont="1" applyFill="1" applyBorder="1" applyAlignment="1">
      <alignment horizontal="center" vertical="center"/>
    </xf>
    <xf numFmtId="0" fontId="24" fillId="18" borderId="35" xfId="0" applyFont="1" applyFill="1" applyBorder="1" applyAlignment="1">
      <alignment horizontal="center" vertical="center"/>
    </xf>
    <xf numFmtId="0" fontId="24" fillId="17" borderId="25" xfId="0" applyFont="1" applyFill="1" applyBorder="1" applyAlignment="1">
      <alignment horizontal="center" vertical="center"/>
    </xf>
    <xf numFmtId="0" fontId="24" fillId="17" borderId="26" xfId="0" applyFont="1" applyFill="1" applyBorder="1" applyAlignment="1">
      <alignment horizontal="center" vertical="center"/>
    </xf>
    <xf numFmtId="0" fontId="24" fillId="16" borderId="19" xfId="0" applyFont="1" applyFill="1" applyBorder="1" applyAlignment="1">
      <alignment horizontal="center" vertical="center"/>
    </xf>
    <xf numFmtId="0" fontId="24" fillId="16" borderId="20" xfId="0" applyFont="1" applyFill="1" applyBorder="1" applyAlignment="1">
      <alignment horizontal="center" vertical="center"/>
    </xf>
    <xf numFmtId="0" fontId="24" fillId="15" borderId="15" xfId="0" applyFont="1" applyFill="1" applyBorder="1" applyAlignment="1">
      <alignment horizontal="center" vertical="center"/>
    </xf>
    <xf numFmtId="0" fontId="24" fillId="15" borderId="13" xfId="0" applyFont="1" applyFill="1" applyBorder="1" applyAlignment="1">
      <alignment horizontal="center" vertical="center"/>
    </xf>
    <xf numFmtId="0" fontId="26" fillId="14" borderId="33" xfId="0" applyFont="1" applyFill="1" applyBorder="1" applyAlignment="1">
      <alignment horizontal="center" vertical="center"/>
    </xf>
    <xf numFmtId="0" fontId="26" fillId="14" borderId="34" xfId="0" applyFont="1" applyFill="1" applyBorder="1" applyAlignment="1">
      <alignment horizontal="center" vertical="center"/>
    </xf>
    <xf numFmtId="0" fontId="26" fillId="14" borderId="37" xfId="0" applyFont="1" applyFill="1" applyBorder="1" applyAlignment="1">
      <alignment horizontal="center" vertical="center"/>
    </xf>
    <xf numFmtId="0" fontId="26" fillId="14" borderId="27" xfId="0" applyFont="1" applyFill="1" applyBorder="1" applyAlignment="1">
      <alignment horizontal="center" vertical="center"/>
    </xf>
    <xf numFmtId="0" fontId="26" fillId="14" borderId="28" xfId="0" applyFont="1" applyFill="1" applyBorder="1" applyAlignment="1">
      <alignment horizontal="center" vertical="center"/>
    </xf>
    <xf numFmtId="0" fontId="26" fillId="14" borderId="21" xfId="0" applyFont="1" applyFill="1" applyBorder="1" applyAlignment="1">
      <alignment horizontal="center" vertical="center"/>
    </xf>
    <xf numFmtId="0" fontId="26" fillId="14" borderId="22" xfId="0" applyFont="1" applyFill="1" applyBorder="1" applyAlignment="1">
      <alignment horizontal="center" vertical="center"/>
    </xf>
    <xf numFmtId="0" fontId="26" fillId="14" borderId="17" xfId="0" applyFont="1" applyFill="1" applyBorder="1" applyAlignment="1">
      <alignment horizontal="center" vertical="center"/>
    </xf>
    <xf numFmtId="0" fontId="26" fillId="14" borderId="14" xfId="0" applyFont="1" applyFill="1" applyBorder="1" applyAlignment="1">
      <alignment horizontal="center" vertical="center"/>
    </xf>
    <xf numFmtId="0" fontId="26" fillId="14" borderId="24" xfId="0" applyFont="1" applyFill="1" applyBorder="1" applyAlignment="1">
      <alignment horizontal="center" vertical="center"/>
    </xf>
    <xf numFmtId="0" fontId="26" fillId="14" borderId="16" xfId="0" applyFont="1" applyFill="1" applyBorder="1" applyAlignment="1">
      <alignment horizontal="center" vertical="center"/>
    </xf>
    <xf numFmtId="0" fontId="16" fillId="6" borderId="0" xfId="3" applyFont="1" applyFill="1" applyBorder="1" applyAlignment="1">
      <alignment horizontal="center"/>
    </xf>
    <xf numFmtId="0" fontId="17" fillId="6" borderId="0" xfId="4" applyFont="1" applyFill="1" applyBorder="1" applyAlignment="1">
      <alignment horizontal="center"/>
    </xf>
    <xf numFmtId="9" fontId="18" fillId="6" borderId="0" xfId="2" applyNumberFormat="1" applyFont="1" applyFill="1" applyBorder="1" applyAlignment="1">
      <alignment horizontal="center"/>
    </xf>
    <xf numFmtId="0" fontId="20" fillId="0" borderId="0" xfId="0" applyFont="1" applyAlignment="1">
      <alignment horizontal="center" vertical="center"/>
    </xf>
  </cellXfs>
  <cellStyles count="6">
    <cellStyle name="Bad" xfId="3" builtinId="27"/>
    <cellStyle name="Check Cell" xfId="5" builtinId="23"/>
    <cellStyle name="Good" xfId="2" builtinId="26"/>
    <cellStyle name="Hyperlink" xfId="1" builtinId="8"/>
    <cellStyle name="Neutral" xfId="4" builtinId="28"/>
    <cellStyle name="Normal" xfId="0" builtinId="0"/>
  </cellStyles>
  <dxfs count="179">
    <dxf>
      <numFmt numFmtId="0" formatCode="General"/>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5" formatCode="0.0"/>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quot;₹&quot;\ #,##0.00"/>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quot;₹&quot;\ #,##0.00"/>
      <border>
        <left style="thin">
          <color rgb="FF000000"/>
        </left>
        <right/>
        <top style="thin">
          <color rgb="FF000000"/>
        </top>
        <bottom style="thin">
          <color rgb="FF000000"/>
        </bottom>
        <vertical style="thin">
          <color rgb="FF000000"/>
        </vertical>
        <horizontal style="thin">
          <color rgb="FF000000"/>
        </horizontal>
      </border>
    </dxf>
    <dxf>
      <numFmt numFmtId="164" formatCode="&quot;₹&quot;\ #,##0.0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quot;₹&quot;\ #,##0.00"/>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quot;₹&quot;\ #,##0.00"/>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quot;₹&quot;\ #,##0.00"/>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quot;₹&quot;\ #,##0.00"/>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quot;₹&quot;\ #,##0.00"/>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4"/>
      </font>
      <alignment horizontal="left"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dd/mm/yyyy"/>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dd/mm/yyyy"/>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dd/mm/yyyy"/>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242424"/>
        <name val="Aptos Narrow"/>
        <charset val="1"/>
        <scheme val="none"/>
      </font>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center" vertical="bottom" textRotation="0" wrapText="0" indent="0" justifyLastLine="0" shrinkToFit="0" readingOrder="0"/>
    </dxf>
    <dxf>
      <font>
        <b val="0"/>
        <i val="0"/>
        <strike val="0"/>
        <condense val="0"/>
        <extend val="0"/>
        <outline val="0"/>
        <shadow val="0"/>
        <u/>
        <vertAlign val="baseline"/>
        <sz val="11"/>
        <color theme="1"/>
        <name val="Calibri"/>
        <family val="2"/>
        <scheme val="minor"/>
      </font>
      <alignment horizontal="center" vertical="bottom" textRotation="0" wrapText="0" indent="0" justifyLastLine="0" shrinkToFit="0" readingOrder="0"/>
      <border>
        <left style="thin">
          <color rgb="FF000000"/>
        </left>
        <right style="thin">
          <color rgb="FF000000"/>
        </right>
        <top/>
        <bottom/>
        <vertical style="thin">
          <color rgb="FF000000"/>
        </vertical>
        <horizontal style="thin">
          <color rgb="FF000000"/>
        </horizontal>
      </border>
    </dxf>
    <dxf>
      <numFmt numFmtId="0" formatCode="General"/>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5" formatCode="0.0"/>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quot;₹&quot;\ #,##0.00"/>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quot;₹&quot;\ #,##0.00"/>
      <border>
        <left style="thin">
          <color rgb="FF000000"/>
        </left>
        <right/>
        <top style="thin">
          <color rgb="FF000000"/>
        </top>
        <bottom style="thin">
          <color rgb="FF000000"/>
        </bottom>
        <vertical style="thin">
          <color rgb="FF000000"/>
        </vertical>
        <horizontal style="thin">
          <color rgb="FF000000"/>
        </horizontal>
      </border>
    </dxf>
    <dxf>
      <numFmt numFmtId="164" formatCode="&quot;₹&quot;\ #,##0.0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quot;₹&quot;\ #,##0.00"/>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quot;₹&quot;\ #,##0.00"/>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quot;₹&quot;\ #,##0.00"/>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quot;₹&quot;\ #,##0.00"/>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quot;₹&quot;\ #,##0.00"/>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4"/>
      </font>
      <alignment horizontal="left"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dd/mm/yyyy"/>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dd/mm/yyyy"/>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dd/mm/yyyy"/>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242424"/>
        <name val="Aptos Narrow"/>
        <charset val="1"/>
        <scheme val="none"/>
      </font>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center" vertical="bottom" textRotation="0" wrapText="0" indent="0" justifyLastLine="0" shrinkToFit="0" readingOrder="0"/>
    </dxf>
    <dxf>
      <font>
        <b val="0"/>
        <i val="0"/>
        <strike val="0"/>
        <condense val="0"/>
        <extend val="0"/>
        <outline val="0"/>
        <shadow val="0"/>
        <u/>
        <vertAlign val="baseline"/>
        <sz val="11"/>
        <color theme="1"/>
        <name val="Calibri"/>
        <family val="2"/>
        <scheme val="minor"/>
      </font>
      <alignment horizontal="center" vertical="bottom" textRotation="0" wrapText="0" indent="0" justifyLastLine="0" shrinkToFit="0" readingOrder="0"/>
      <border>
        <left style="thin">
          <color rgb="FF000000"/>
        </left>
        <right style="thin">
          <color rgb="FF000000"/>
        </right>
        <top/>
        <bottom/>
        <vertical style="thin">
          <color rgb="FF000000"/>
        </vertical>
        <horizontal style="thin">
          <color rgb="FF000000"/>
        </horizontal>
      </border>
    </dxf>
    <dxf>
      <numFmt numFmtId="0" formatCode="General"/>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5" formatCode="0.0"/>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quot;₹&quot;\ #,##0.00"/>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quot;₹&quot;\ #,##0.00"/>
      <border>
        <left style="thin">
          <color rgb="FF000000"/>
        </left>
        <right/>
        <top style="thin">
          <color rgb="FF000000"/>
        </top>
        <bottom style="thin">
          <color rgb="FF000000"/>
        </bottom>
        <vertical style="thin">
          <color rgb="FF000000"/>
        </vertical>
        <horizontal style="thin">
          <color rgb="FF000000"/>
        </horizontal>
      </border>
    </dxf>
    <dxf>
      <numFmt numFmtId="164" formatCode="&quot;₹&quot;\ #,##0.0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quot;₹&quot;\ #,##0.00"/>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quot;₹&quot;\ #,##0.00"/>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quot;₹&quot;\ #,##0.00"/>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quot;₹&quot;\ #,##0.00"/>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quot;₹&quot;\ #,##0.00"/>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4"/>
      </font>
      <alignment horizontal="left"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dd/mm/yyyy"/>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dd/mm/yyyy"/>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dd/mm/yyyy"/>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242424"/>
        <name val="Aptos Narrow"/>
        <charset val="1"/>
        <scheme val="none"/>
      </font>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left style="thin">
          <color rgb="FF000000"/>
        </left>
        <right style="thin">
          <color rgb="FF000000"/>
        </right>
        <top/>
        <bottom/>
        <vertical style="thin">
          <color rgb="FF000000"/>
        </vertical>
        <horizontal style="thin">
          <color rgb="FF000000"/>
        </horizontal>
      </border>
    </dxf>
    <dxf>
      <numFmt numFmtId="164" formatCode="&quot;₹&quot;\ #,##0.00"/>
      <border>
        <left style="thin">
          <color rgb="FF000000"/>
        </left>
        <right/>
        <top style="thin">
          <color rgb="FF000000"/>
        </top>
        <bottom style="thin">
          <color rgb="FF000000"/>
        </bottom>
        <vertical style="thin">
          <color rgb="FF000000"/>
        </vertical>
        <horizontal style="thin">
          <color rgb="FF000000"/>
        </horizontal>
      </border>
    </dxf>
    <dxf>
      <numFmt numFmtId="164" formatCode="&quot;₹&quot;\ #,##0.0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quot;₹&quot;\ #,##0.00"/>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quot;₹&quot;\ #,##0.00"/>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quot;₹&quot;\ #,##0.00"/>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quot;₹&quot;\ #,##0.00"/>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quot;₹&quot;\ #,##0.00"/>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4"/>
      </font>
      <alignment horizontal="left"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dd/mm/yyyy"/>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dd/mm/yyyy"/>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dd/mm/yyyy"/>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242424"/>
        <name val="Aptos Narrow"/>
        <charset val="1"/>
        <scheme val="none"/>
      </font>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left style="thin">
          <color rgb="FF000000"/>
        </left>
        <right style="thin">
          <color rgb="FF000000"/>
        </right>
        <top/>
        <bottom/>
        <vertical style="thin">
          <color rgb="FF000000"/>
        </vertical>
        <horizontal style="thin">
          <color rgb="FF000000"/>
        </horizontal>
      </border>
    </dxf>
    <dxf>
      <font>
        <color rgb="FF9C0006"/>
      </font>
      <fill>
        <patternFill>
          <bgColor rgb="FFFFC7CE"/>
        </patternFill>
      </fill>
    </dxf>
    <dxf>
      <font>
        <color rgb="FF9C5700"/>
      </font>
      <fill>
        <patternFill>
          <bgColor rgb="FFFFEB9C"/>
        </patternFill>
      </fill>
    </dxf>
    <dxf>
      <font>
        <color theme="2"/>
      </font>
      <fill>
        <patternFill patternType="solid">
          <bgColor rgb="FFFF0000"/>
        </patternFill>
      </fill>
    </dxf>
    <dxf>
      <font>
        <color rgb="FF9C0006"/>
      </font>
    </dxf>
    <dxf>
      <font>
        <color rgb="FF006100"/>
      </font>
      <fill>
        <patternFill>
          <bgColor rgb="FFC6EFCE"/>
        </patternFill>
      </fill>
    </dxf>
    <dxf>
      <numFmt numFmtId="164" formatCode="&quot;₹&quot;\ #,##0.00"/>
      <border>
        <left style="thin">
          <color rgb="FF000000"/>
        </left>
        <right/>
        <top style="thin">
          <color rgb="FF000000"/>
        </top>
        <bottom style="thin">
          <color rgb="FF000000"/>
        </bottom>
        <vertical style="thin">
          <color rgb="FF000000"/>
        </vertical>
        <horizontal style="thin">
          <color rgb="FF000000"/>
        </horizontal>
      </border>
    </dxf>
    <dxf>
      <numFmt numFmtId="164" formatCode="&quot;₹&quot;\ #,##0.0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quot;₹&quot;\ #,##0.00"/>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quot;₹&quot;\ #,##0.00"/>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quot;₹&quot;\ #,##0.00"/>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quot;₹&quot;\ #,##0.00"/>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quot;₹&quot;\ #,##0.00"/>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4"/>
      </font>
      <alignment horizontal="left"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dd/mm/yyyy"/>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dd/mm/yyyy"/>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dd/mm/yyyy"/>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242424"/>
        <name val="Aptos Narrow"/>
        <charset val="1"/>
        <scheme val="none"/>
      </font>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bottom" textRotation="0" wrapText="0"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Array" Target="richData/rdarray.xml"/><Relationship Id="rId3" Type="http://schemas.openxmlformats.org/officeDocument/2006/relationships/worksheet" Target="worksheets/sheet3.xml"/><Relationship Id="rId21" Type="http://schemas.microsoft.com/office/2017/06/relationships/rdSupportingPropertyBag" Target="richData/rdsupportingpropertybag.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0/07/relationships/rdRichValueWebImage" Target="richData/rdRichValueWebImage.xml"/><Relationship Id="rId23" Type="http://schemas.openxmlformats.org/officeDocument/2006/relationships/calcChain" Target="calcChain.xml"/><Relationship Id="rId10" Type="http://schemas.openxmlformats.org/officeDocument/2006/relationships/pivotCacheDefinition" Target="pivotCache/pivotCacheDefinition1.xml"/><Relationship Id="rId19" Type="http://schemas.microsoft.com/office/2017/06/relationships/richStyles" Target="richData/rich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Experience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WorkingDashboard!$BQ$31</c:f>
              <c:strCache>
                <c:ptCount val="1"/>
                <c:pt idx="0">
                  <c:v>Employees</c:v>
                </c:pt>
              </c:strCache>
            </c:strRef>
          </c:tx>
          <c:spPr>
            <a:solidFill>
              <a:srgbClr val="38BDF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WorkingDashboard!$BP$32:$BP$34</c:f>
              <c:strCache>
                <c:ptCount val="3"/>
                <c:pt idx="0">
                  <c:v>0-2 Years</c:v>
                </c:pt>
                <c:pt idx="1">
                  <c:v>2-5 Years</c:v>
                </c:pt>
                <c:pt idx="2">
                  <c:v>5+ Years</c:v>
                </c:pt>
              </c:strCache>
            </c:strRef>
          </c:cat>
          <c:val>
            <c:numRef>
              <c:f>WorkingDashboard!$BQ$32:$BQ$34</c:f>
              <c:numCache>
                <c:formatCode>General</c:formatCode>
                <c:ptCount val="3"/>
                <c:pt idx="0">
                  <c:v>8</c:v>
                </c:pt>
                <c:pt idx="1">
                  <c:v>10</c:v>
                </c:pt>
                <c:pt idx="2">
                  <c:v>2</c:v>
                </c:pt>
              </c:numCache>
            </c:numRef>
          </c:val>
          <c:extLst>
            <c:ext xmlns:c16="http://schemas.microsoft.com/office/drawing/2014/chart" uri="{C3380CC4-5D6E-409C-BE32-E72D297353CC}">
              <c16:uniqueId val="{00000000-E754-439F-80F9-7105FC2D34D6}"/>
            </c:ext>
          </c:extLst>
        </c:ser>
        <c:dLbls>
          <c:showLegendKey val="0"/>
          <c:showVal val="0"/>
          <c:showCatName val="0"/>
          <c:showSerName val="0"/>
          <c:showPercent val="0"/>
          <c:showBubbleSize val="0"/>
        </c:dLbls>
        <c:gapWidth val="219"/>
        <c:overlap val="-27"/>
        <c:axId val="1586575368"/>
        <c:axId val="1586581512"/>
      </c:barChart>
      <c:catAx>
        <c:axId val="1586575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581512"/>
        <c:crosses val="autoZero"/>
        <c:auto val="1"/>
        <c:lblAlgn val="ctr"/>
        <c:lblOffset val="100"/>
        <c:noMultiLvlLbl val="0"/>
      </c:catAx>
      <c:valAx>
        <c:axId val="158658151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5753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Performer Mix</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WorkingDashboard!$BT$31</c:f>
              <c:strCache>
                <c:ptCount val="1"/>
                <c:pt idx="0">
                  <c:v>Employees</c:v>
                </c:pt>
              </c:strCache>
            </c:strRef>
          </c:tx>
          <c:spPr>
            <a:solidFill>
              <a:srgbClr val="A855F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WorkingDashboard!$BS$32:$BS$35</c:f>
              <c:strCache>
                <c:ptCount val="4"/>
                <c:pt idx="0">
                  <c:v>Top (8-10)</c:v>
                </c:pt>
                <c:pt idx="1">
                  <c:v>Strong (6-7)</c:v>
                </c:pt>
                <c:pt idx="2">
                  <c:v>Average (4-5)</c:v>
                </c:pt>
                <c:pt idx="3">
                  <c:v>Needs Support (1-3)</c:v>
                </c:pt>
              </c:strCache>
            </c:strRef>
          </c:cat>
          <c:val>
            <c:numRef>
              <c:f>WorkingDashboard!$BT$32:$BT$35</c:f>
              <c:numCache>
                <c:formatCode>General</c:formatCode>
                <c:ptCount val="4"/>
                <c:pt idx="0">
                  <c:v>5</c:v>
                </c:pt>
                <c:pt idx="1">
                  <c:v>2</c:v>
                </c:pt>
                <c:pt idx="2">
                  <c:v>6</c:v>
                </c:pt>
                <c:pt idx="3">
                  <c:v>7</c:v>
                </c:pt>
              </c:numCache>
            </c:numRef>
          </c:val>
          <c:extLst>
            <c:ext xmlns:c16="http://schemas.microsoft.com/office/drawing/2014/chart" uri="{C3380CC4-5D6E-409C-BE32-E72D297353CC}">
              <c16:uniqueId val="{00000000-9329-4F9A-9F91-8835C2DFB268}"/>
            </c:ext>
          </c:extLst>
        </c:ser>
        <c:dLbls>
          <c:showLegendKey val="0"/>
          <c:showVal val="0"/>
          <c:showCatName val="0"/>
          <c:showSerName val="0"/>
          <c:showPercent val="0"/>
          <c:showBubbleSize val="0"/>
        </c:dLbls>
        <c:gapWidth val="182"/>
        <c:axId val="1609218056"/>
        <c:axId val="1609633800"/>
      </c:barChart>
      <c:catAx>
        <c:axId val="1609218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633800"/>
        <c:crosses val="autoZero"/>
        <c:auto val="1"/>
        <c:lblAlgn val="ctr"/>
        <c:lblOffset val="100"/>
        <c:noMultiLvlLbl val="0"/>
      </c:catAx>
      <c:valAx>
        <c:axId val="1609633800"/>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2180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Leave Taken Pattern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WorkingDashboard!$BW$31</c:f>
              <c:strCache>
                <c:ptCount val="1"/>
                <c:pt idx="0">
                  <c:v>Employees</c:v>
                </c:pt>
              </c:strCache>
            </c:strRef>
          </c:tx>
          <c:spPr>
            <a:ln w="28575" cap="rnd">
              <a:solidFill>
                <a:srgbClr val="F97316"/>
              </a:solidFill>
              <a:prstDash val="solid"/>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WorkingDashboard!$BV$32:$BV$35</c:f>
              <c:strCache>
                <c:ptCount val="4"/>
                <c:pt idx="0">
                  <c:v>0-3 Days</c:v>
                </c:pt>
                <c:pt idx="1">
                  <c:v>4-6 Days</c:v>
                </c:pt>
                <c:pt idx="2">
                  <c:v>7-10 Days</c:v>
                </c:pt>
                <c:pt idx="3">
                  <c:v>10+ Days</c:v>
                </c:pt>
              </c:strCache>
            </c:strRef>
          </c:cat>
          <c:val>
            <c:numRef>
              <c:f>WorkingDashboard!$BW$32:$BW$35</c:f>
              <c:numCache>
                <c:formatCode>General</c:formatCode>
                <c:ptCount val="4"/>
                <c:pt idx="0">
                  <c:v>0</c:v>
                </c:pt>
                <c:pt idx="1">
                  <c:v>10</c:v>
                </c:pt>
                <c:pt idx="2">
                  <c:v>10</c:v>
                </c:pt>
                <c:pt idx="3">
                  <c:v>0</c:v>
                </c:pt>
              </c:numCache>
            </c:numRef>
          </c:val>
          <c:smooth val="0"/>
          <c:extLst>
            <c:ext xmlns:c16="http://schemas.microsoft.com/office/drawing/2014/chart" uri="{C3380CC4-5D6E-409C-BE32-E72D297353CC}">
              <c16:uniqueId val="{00000000-E3CD-4C8E-BAFD-9F32F0794364}"/>
            </c:ext>
          </c:extLst>
        </c:ser>
        <c:dLbls>
          <c:showLegendKey val="0"/>
          <c:showVal val="0"/>
          <c:showCatName val="0"/>
          <c:showSerName val="0"/>
          <c:showPercent val="0"/>
          <c:showBubbleSize val="0"/>
        </c:dLbls>
        <c:marker val="1"/>
        <c:smooth val="0"/>
        <c:axId val="1610918408"/>
        <c:axId val="1612431880"/>
      </c:lineChart>
      <c:catAx>
        <c:axId val="1610918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431880"/>
        <c:crosses val="autoZero"/>
        <c:auto val="1"/>
        <c:lblAlgn val="ctr"/>
        <c:lblOffset val="100"/>
        <c:noMultiLvlLbl val="0"/>
      </c:catAx>
      <c:valAx>
        <c:axId val="161243188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9184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Work Mode Split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WorkingDashboard!$BZ$31</c:f>
              <c:strCache>
                <c:ptCount val="1"/>
                <c:pt idx="0">
                  <c:v>Employees</c:v>
                </c:pt>
              </c:strCache>
            </c:strRef>
          </c:tx>
          <c:spPr>
            <a:solidFill>
              <a:srgbClr val="22C55E"/>
            </a:solidFill>
          </c:spPr>
          <c:explosion val="25"/>
          <c:dPt>
            <c:idx val="0"/>
            <c:bubble3D val="0"/>
            <c:spPr>
              <a:solidFill>
                <a:srgbClr val="22C55E"/>
              </a:solidFill>
              <a:ln w="19050">
                <a:solidFill>
                  <a:schemeClr val="lt1"/>
                </a:solidFill>
              </a:ln>
              <a:effectLst/>
            </c:spPr>
            <c:extLst>
              <c:ext xmlns:c16="http://schemas.microsoft.com/office/drawing/2014/chart" uri="{C3380CC4-5D6E-409C-BE32-E72D297353CC}">
                <c16:uniqueId val="{00000001-A06D-4955-96B3-7A6235787B24}"/>
              </c:ext>
            </c:extLst>
          </c:dPt>
          <c:dPt>
            <c:idx val="1"/>
            <c:bubble3D val="0"/>
            <c:spPr>
              <a:solidFill>
                <a:srgbClr val="22C55E"/>
              </a:solidFill>
              <a:ln w="19050">
                <a:solidFill>
                  <a:schemeClr val="lt1"/>
                </a:solidFill>
              </a:ln>
              <a:effectLst/>
            </c:spPr>
            <c:extLst>
              <c:ext xmlns:c16="http://schemas.microsoft.com/office/drawing/2014/chart" uri="{C3380CC4-5D6E-409C-BE32-E72D297353CC}">
                <c16:uniqueId val="{00000003-A06D-4955-96B3-7A6235787B24}"/>
              </c:ext>
            </c:extLst>
          </c:dPt>
          <c:dPt>
            <c:idx val="2"/>
            <c:bubble3D val="0"/>
            <c:spPr>
              <a:solidFill>
                <a:srgbClr val="22C55E"/>
              </a:solidFill>
              <a:ln w="19050">
                <a:solidFill>
                  <a:schemeClr val="lt1"/>
                </a:solidFill>
              </a:ln>
              <a:effectLst/>
            </c:spPr>
            <c:extLst>
              <c:ext xmlns:c16="http://schemas.microsoft.com/office/drawing/2014/chart" uri="{C3380CC4-5D6E-409C-BE32-E72D297353CC}">
                <c16:uniqueId val="{00000005-A06D-4955-96B3-7A6235787B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WorkingDashboard!$BY$32:$BY$34</c:f>
              <c:strCache>
                <c:ptCount val="3"/>
                <c:pt idx="0">
                  <c:v>WFO</c:v>
                </c:pt>
                <c:pt idx="1">
                  <c:v>WFH</c:v>
                </c:pt>
                <c:pt idx="2">
                  <c:v>Hybrid</c:v>
                </c:pt>
              </c:strCache>
            </c:strRef>
          </c:cat>
          <c:val>
            <c:numRef>
              <c:f>WorkingDashboard!$BZ$32:$BZ$34</c:f>
              <c:numCache>
                <c:formatCode>General</c:formatCode>
                <c:ptCount val="3"/>
                <c:pt idx="0">
                  <c:v>5</c:v>
                </c:pt>
                <c:pt idx="1">
                  <c:v>6</c:v>
                </c:pt>
                <c:pt idx="2">
                  <c:v>9</c:v>
                </c:pt>
              </c:numCache>
            </c:numRef>
          </c:val>
          <c:extLst>
            <c:ext xmlns:c16="http://schemas.microsoft.com/office/drawing/2014/chart" uri="{C3380CC4-5D6E-409C-BE32-E72D297353CC}">
              <c16:uniqueId val="{00000006-A06D-4955-96B3-7A6235787B2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Headcount Snapshot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WorkingDashboard!$BB$2</c:f>
              <c:strCache>
                <c:ptCount val="1"/>
                <c:pt idx="0">
                  <c:v>Count</c:v>
                </c:pt>
              </c:strCache>
            </c:strRef>
          </c:tx>
          <c:spPr>
            <a:solidFill>
              <a:srgbClr val="2563EB"/>
            </a:solidFill>
          </c:spPr>
          <c:dPt>
            <c:idx val="0"/>
            <c:bubble3D val="0"/>
            <c:spPr>
              <a:solidFill>
                <a:srgbClr val="2563EB"/>
              </a:solidFill>
              <a:ln w="19050">
                <a:solidFill>
                  <a:schemeClr val="lt1"/>
                </a:solidFill>
              </a:ln>
              <a:effectLst/>
            </c:spPr>
            <c:extLst>
              <c:ext xmlns:c16="http://schemas.microsoft.com/office/drawing/2014/chart" uri="{C3380CC4-5D6E-409C-BE32-E72D297353CC}">
                <c16:uniqueId val="{00000001-8C99-43A1-84F6-77AF8EC32AA2}"/>
              </c:ext>
            </c:extLst>
          </c:dPt>
          <c:dPt>
            <c:idx val="1"/>
            <c:bubble3D val="0"/>
            <c:spPr>
              <a:solidFill>
                <a:srgbClr val="2563EB"/>
              </a:solidFill>
              <a:ln w="19050">
                <a:solidFill>
                  <a:schemeClr val="lt1"/>
                </a:solidFill>
              </a:ln>
              <a:effectLst/>
            </c:spPr>
            <c:extLst>
              <c:ext xmlns:c16="http://schemas.microsoft.com/office/drawing/2014/chart" uri="{C3380CC4-5D6E-409C-BE32-E72D297353CC}">
                <c16:uniqueId val="{00000003-8C99-43A1-84F6-77AF8EC32AA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WorkingDashboard!$BA$3:$BA$4</c:f>
              <c:strCache>
                <c:ptCount val="2"/>
                <c:pt idx="0">
                  <c:v>Active</c:v>
                </c:pt>
                <c:pt idx="1">
                  <c:v>Inactive</c:v>
                </c:pt>
              </c:strCache>
            </c:strRef>
          </c:cat>
          <c:val>
            <c:numRef>
              <c:f>WorkingDashboard!$BB$3:$BB$4</c:f>
              <c:numCache>
                <c:formatCode>General</c:formatCode>
                <c:ptCount val="2"/>
                <c:pt idx="0">
                  <c:v>20</c:v>
                </c:pt>
                <c:pt idx="1">
                  <c:v>0</c:v>
                </c:pt>
              </c:numCache>
            </c:numRef>
          </c:val>
          <c:extLst>
            <c:ext xmlns:c16="http://schemas.microsoft.com/office/drawing/2014/chart" uri="{C3380CC4-5D6E-409C-BE32-E72D297353CC}">
              <c16:uniqueId val="{00000004-8C99-43A1-84F6-77AF8EC32AA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Performance Spread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WorkingDashboard!$BG$2</c:f>
              <c:strCache>
                <c:ptCount val="1"/>
                <c:pt idx="0">
                  <c:v>Rating</c:v>
                </c:pt>
              </c:strCache>
            </c:strRef>
          </c:tx>
          <c:spPr>
            <a:solidFill>
              <a:srgbClr val="10B98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WorkingDashboard!$BG$3:$BG$12</c:f>
              <c:numCache>
                <c:formatCode>General</c:formatCode>
                <c:ptCount val="10"/>
                <c:pt idx="0">
                  <c:v>1</c:v>
                </c:pt>
                <c:pt idx="1">
                  <c:v>2</c:v>
                </c:pt>
                <c:pt idx="2">
                  <c:v>3</c:v>
                </c:pt>
                <c:pt idx="3">
                  <c:v>4</c:v>
                </c:pt>
                <c:pt idx="4">
                  <c:v>5</c:v>
                </c:pt>
                <c:pt idx="5">
                  <c:v>6</c:v>
                </c:pt>
                <c:pt idx="6">
                  <c:v>7</c:v>
                </c:pt>
                <c:pt idx="7">
                  <c:v>8</c:v>
                </c:pt>
                <c:pt idx="8">
                  <c:v>9</c:v>
                </c:pt>
                <c:pt idx="9">
                  <c:v>10</c:v>
                </c:pt>
              </c:numCache>
            </c:numRef>
          </c:val>
          <c:extLst>
            <c:ext xmlns:c16="http://schemas.microsoft.com/office/drawing/2014/chart" uri="{C3380CC4-5D6E-409C-BE32-E72D297353CC}">
              <c16:uniqueId val="{00000000-0D74-4C06-B3D9-DF9452E26F9A}"/>
            </c:ext>
          </c:extLst>
        </c:ser>
        <c:ser>
          <c:idx val="1"/>
          <c:order val="1"/>
          <c:tx>
            <c:strRef>
              <c:f>WorkingDashboard!$BH$2</c:f>
              <c:strCache>
                <c:ptCount val="1"/>
                <c:pt idx="0">
                  <c:v>Employees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WorkingDashboard!$BH$3:$BH$12</c:f>
              <c:numCache>
                <c:formatCode>General</c:formatCode>
                <c:ptCount val="10"/>
                <c:pt idx="0">
                  <c:v>0</c:v>
                </c:pt>
                <c:pt idx="1">
                  <c:v>4</c:v>
                </c:pt>
                <c:pt idx="2">
                  <c:v>3</c:v>
                </c:pt>
                <c:pt idx="3">
                  <c:v>1</c:v>
                </c:pt>
                <c:pt idx="4">
                  <c:v>5</c:v>
                </c:pt>
                <c:pt idx="5">
                  <c:v>0</c:v>
                </c:pt>
                <c:pt idx="6">
                  <c:v>2</c:v>
                </c:pt>
                <c:pt idx="7">
                  <c:v>1</c:v>
                </c:pt>
                <c:pt idx="8">
                  <c:v>2</c:v>
                </c:pt>
                <c:pt idx="9">
                  <c:v>2</c:v>
                </c:pt>
              </c:numCache>
            </c:numRef>
          </c:val>
          <c:extLst>
            <c:ext xmlns:c16="http://schemas.microsoft.com/office/drawing/2014/chart" uri="{C3380CC4-5D6E-409C-BE32-E72D297353CC}">
              <c16:uniqueId val="{00000001-0D74-4C06-B3D9-DF9452E26F9A}"/>
            </c:ext>
          </c:extLst>
        </c:ser>
        <c:dLbls>
          <c:showLegendKey val="0"/>
          <c:showVal val="0"/>
          <c:showCatName val="0"/>
          <c:showSerName val="0"/>
          <c:showPercent val="0"/>
          <c:showBubbleSize val="0"/>
        </c:dLbls>
        <c:gapWidth val="219"/>
        <c:overlap val="-27"/>
        <c:axId val="1610926600"/>
        <c:axId val="1612300808"/>
      </c:barChart>
      <c:catAx>
        <c:axId val="161092660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300808"/>
        <c:crosses val="autoZero"/>
        <c:auto val="1"/>
        <c:lblAlgn val="ctr"/>
        <c:lblOffset val="100"/>
        <c:noMultiLvlLbl val="0"/>
      </c:catAx>
      <c:valAx>
        <c:axId val="1612300808"/>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9266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Avg Salary Mix</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WorkingDashboard!$BK$2</c:f>
              <c:strCache>
                <c:ptCount val="1"/>
                <c:pt idx="0">
                  <c:v>Avg Amount</c:v>
                </c:pt>
              </c:strCache>
            </c:strRef>
          </c:tx>
          <c:spPr>
            <a:solidFill>
              <a:srgbClr val="F59E0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WorkingDashboard!$BJ$3:$BJ$7</c:f>
              <c:strCache>
                <c:ptCount val="5"/>
                <c:pt idx="0">
                  <c:v>Basis Salary</c:v>
                </c:pt>
                <c:pt idx="1">
                  <c:v>Transport</c:v>
                </c:pt>
                <c:pt idx="2">
                  <c:v>Medical</c:v>
                </c:pt>
                <c:pt idx="3">
                  <c:v>Bonus</c:v>
                </c:pt>
                <c:pt idx="4">
                  <c:v>HRA</c:v>
                </c:pt>
              </c:strCache>
            </c:strRef>
          </c:cat>
          <c:val>
            <c:numRef>
              <c:f>WorkingDashboard!$BK$3:$BK$7</c:f>
              <c:numCache>
                <c:formatCode>\₹#,##0</c:formatCode>
                <c:ptCount val="5"/>
                <c:pt idx="0">
                  <c:v>38450</c:v>
                </c:pt>
                <c:pt idx="1">
                  <c:v>4161</c:v>
                </c:pt>
                <c:pt idx="2">
                  <c:v>0</c:v>
                </c:pt>
                <c:pt idx="3">
                  <c:v>1937</c:v>
                </c:pt>
                <c:pt idx="4">
                  <c:v>12784</c:v>
                </c:pt>
              </c:numCache>
            </c:numRef>
          </c:val>
          <c:extLst>
            <c:ext xmlns:c16="http://schemas.microsoft.com/office/drawing/2014/chart" uri="{C3380CC4-5D6E-409C-BE32-E72D297353CC}">
              <c16:uniqueId val="{00000000-4EA0-4398-84C3-DEF1418444A5}"/>
            </c:ext>
          </c:extLst>
        </c:ser>
        <c:dLbls>
          <c:showLegendKey val="0"/>
          <c:showVal val="0"/>
          <c:showCatName val="0"/>
          <c:showSerName val="0"/>
          <c:showPercent val="0"/>
          <c:showBubbleSize val="0"/>
        </c:dLbls>
        <c:gapWidth val="182"/>
        <c:axId val="1584585224"/>
        <c:axId val="1584591368"/>
      </c:barChart>
      <c:catAx>
        <c:axId val="1584585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591368"/>
        <c:crosses val="autoZero"/>
        <c:auto val="1"/>
        <c:lblAlgn val="ctr"/>
        <c:lblOffset val="100"/>
        <c:noMultiLvlLbl val="0"/>
      </c:catAx>
      <c:valAx>
        <c:axId val="1584591368"/>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5852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Gender Balance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WorkingDashboard!$BE$2</c:f>
              <c:strCache>
                <c:ptCount val="1"/>
                <c:pt idx="0">
                  <c:v>Count</c:v>
                </c:pt>
              </c:strCache>
            </c:strRef>
          </c:tx>
          <c:spPr>
            <a:solidFill>
              <a:srgbClr val="EC4899"/>
            </a:solidFill>
          </c:spPr>
          <c:explosion val="25"/>
          <c:dPt>
            <c:idx val="0"/>
            <c:bubble3D val="0"/>
            <c:spPr>
              <a:solidFill>
                <a:srgbClr val="EC4899"/>
              </a:solidFill>
              <a:ln w="19050">
                <a:solidFill>
                  <a:schemeClr val="lt1"/>
                </a:solidFill>
              </a:ln>
              <a:effectLst/>
            </c:spPr>
            <c:extLst>
              <c:ext xmlns:c16="http://schemas.microsoft.com/office/drawing/2014/chart" uri="{C3380CC4-5D6E-409C-BE32-E72D297353CC}">
                <c16:uniqueId val="{00000001-AA62-4303-8008-4720A8BFF6E5}"/>
              </c:ext>
            </c:extLst>
          </c:dPt>
          <c:dPt>
            <c:idx val="1"/>
            <c:bubble3D val="0"/>
            <c:spPr>
              <a:solidFill>
                <a:srgbClr val="EC4899"/>
              </a:solidFill>
              <a:ln w="19050">
                <a:solidFill>
                  <a:schemeClr val="lt1"/>
                </a:solidFill>
              </a:ln>
              <a:effectLst/>
            </c:spPr>
            <c:extLst>
              <c:ext xmlns:c16="http://schemas.microsoft.com/office/drawing/2014/chart" uri="{C3380CC4-5D6E-409C-BE32-E72D297353CC}">
                <c16:uniqueId val="{00000003-AA62-4303-8008-4720A8BFF6E5}"/>
              </c:ext>
            </c:extLst>
          </c:dPt>
          <c:dPt>
            <c:idx val="2"/>
            <c:bubble3D val="0"/>
            <c:spPr>
              <a:solidFill>
                <a:srgbClr val="EC4899"/>
              </a:solidFill>
              <a:ln w="19050">
                <a:solidFill>
                  <a:schemeClr val="lt1"/>
                </a:solidFill>
              </a:ln>
              <a:effectLst/>
            </c:spPr>
            <c:extLst>
              <c:ext xmlns:c16="http://schemas.microsoft.com/office/drawing/2014/chart" uri="{C3380CC4-5D6E-409C-BE32-E72D297353CC}">
                <c16:uniqueId val="{00000005-AA62-4303-8008-4720A8BFF6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WorkingDashboard!$BD$3:$BD$5</c:f>
              <c:strCache>
                <c:ptCount val="3"/>
                <c:pt idx="0">
                  <c:v>Male</c:v>
                </c:pt>
                <c:pt idx="1">
                  <c:v>Female</c:v>
                </c:pt>
                <c:pt idx="2">
                  <c:v>Other</c:v>
                </c:pt>
              </c:strCache>
            </c:strRef>
          </c:cat>
          <c:val>
            <c:numRef>
              <c:f>WorkingDashboard!$BE$3:$BE$5</c:f>
              <c:numCache>
                <c:formatCode>General</c:formatCode>
                <c:ptCount val="3"/>
                <c:pt idx="0">
                  <c:v>9</c:v>
                </c:pt>
                <c:pt idx="1">
                  <c:v>11</c:v>
                </c:pt>
                <c:pt idx="2">
                  <c:v>0</c:v>
                </c:pt>
              </c:numCache>
            </c:numRef>
          </c:val>
          <c:extLst>
            <c:ext xmlns:c16="http://schemas.microsoft.com/office/drawing/2014/chart" uri="{C3380CC4-5D6E-409C-BE32-E72D297353CC}">
              <c16:uniqueId val="{00000006-AA62-4303-8008-4720A8BFF6E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Increment Eligibility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WorkingDashboard!$BN$2</c:f>
              <c:strCache>
                <c:ptCount val="1"/>
                <c:pt idx="0">
                  <c:v>Count</c:v>
                </c:pt>
              </c:strCache>
            </c:strRef>
          </c:tx>
          <c:spPr>
            <a:solidFill>
              <a:srgbClr val="8B5CF6"/>
            </a:solidFill>
          </c:spPr>
          <c:explosion val="25"/>
          <c:dPt>
            <c:idx val="0"/>
            <c:bubble3D val="0"/>
            <c:spPr>
              <a:solidFill>
                <a:srgbClr val="8B5CF6"/>
              </a:solidFill>
              <a:ln w="19050">
                <a:solidFill>
                  <a:schemeClr val="lt1"/>
                </a:solidFill>
              </a:ln>
              <a:effectLst/>
            </c:spPr>
            <c:extLst>
              <c:ext xmlns:c16="http://schemas.microsoft.com/office/drawing/2014/chart" uri="{C3380CC4-5D6E-409C-BE32-E72D297353CC}">
                <c16:uniqueId val="{00000001-D78B-4F81-8B84-6558ABB6CFBB}"/>
              </c:ext>
            </c:extLst>
          </c:dPt>
          <c:dPt>
            <c:idx val="1"/>
            <c:bubble3D val="0"/>
            <c:spPr>
              <a:solidFill>
                <a:srgbClr val="8B5CF6"/>
              </a:solidFill>
              <a:ln w="19050">
                <a:solidFill>
                  <a:schemeClr val="lt1"/>
                </a:solidFill>
              </a:ln>
              <a:effectLst/>
            </c:spPr>
            <c:extLst>
              <c:ext xmlns:c16="http://schemas.microsoft.com/office/drawing/2014/chart" uri="{C3380CC4-5D6E-409C-BE32-E72D297353CC}">
                <c16:uniqueId val="{00000003-D78B-4F81-8B84-6558ABB6CF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WorkingDashboard!$BM$3:$BM$4</c:f>
              <c:strCache>
                <c:ptCount val="2"/>
                <c:pt idx="0">
                  <c:v>Eligible</c:v>
                </c:pt>
                <c:pt idx="1">
                  <c:v>Not Eligible</c:v>
                </c:pt>
              </c:strCache>
            </c:strRef>
          </c:cat>
          <c:val>
            <c:numRef>
              <c:f>WorkingDashboard!$BN$3:$BN$4</c:f>
              <c:numCache>
                <c:formatCode>General</c:formatCode>
                <c:ptCount val="2"/>
                <c:pt idx="0">
                  <c:v>9</c:v>
                </c:pt>
                <c:pt idx="1">
                  <c:v>11</c:v>
                </c:pt>
              </c:numCache>
            </c:numRef>
          </c:val>
          <c:extLst>
            <c:ext xmlns:c16="http://schemas.microsoft.com/office/drawing/2014/chart" uri="{C3380CC4-5D6E-409C-BE32-E72D297353CC}">
              <c16:uniqueId val="{00000004-D78B-4F81-8B84-6558ABB6CFB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Headcount Snapshot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WorkingDashboard!$BB$2</c:f>
              <c:strCache>
                <c:ptCount val="1"/>
                <c:pt idx="0">
                  <c:v>Count</c:v>
                </c:pt>
              </c:strCache>
            </c:strRef>
          </c:tx>
          <c:spPr>
            <a:solidFill>
              <a:srgbClr val="2563EB"/>
            </a:solidFill>
          </c:spPr>
          <c:dPt>
            <c:idx val="0"/>
            <c:bubble3D val="0"/>
            <c:spPr>
              <a:solidFill>
                <a:srgbClr val="2563EB"/>
              </a:solidFill>
              <a:ln w="19050">
                <a:solidFill>
                  <a:schemeClr val="lt1"/>
                </a:solidFill>
              </a:ln>
              <a:effectLst/>
            </c:spPr>
            <c:extLst>
              <c:ext xmlns:c16="http://schemas.microsoft.com/office/drawing/2014/chart" uri="{C3380CC4-5D6E-409C-BE32-E72D297353CC}">
                <c16:uniqueId val="{00000001-9CF1-4180-B9BB-A91A36D08467}"/>
              </c:ext>
            </c:extLst>
          </c:dPt>
          <c:dPt>
            <c:idx val="1"/>
            <c:bubble3D val="0"/>
            <c:spPr>
              <a:solidFill>
                <a:srgbClr val="2563EB"/>
              </a:solidFill>
              <a:ln w="19050">
                <a:solidFill>
                  <a:schemeClr val="lt1"/>
                </a:solidFill>
              </a:ln>
              <a:effectLst/>
            </c:spPr>
            <c:extLst>
              <c:ext xmlns:c16="http://schemas.microsoft.com/office/drawing/2014/chart" uri="{C3380CC4-5D6E-409C-BE32-E72D297353CC}">
                <c16:uniqueId val="{00000003-9CF1-4180-B9BB-A91A36D084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WorkingDashboard!$BA$3:$BA$4</c:f>
              <c:strCache>
                <c:ptCount val="2"/>
                <c:pt idx="0">
                  <c:v>Active</c:v>
                </c:pt>
                <c:pt idx="1">
                  <c:v>Inactive</c:v>
                </c:pt>
              </c:strCache>
            </c:strRef>
          </c:cat>
          <c:val>
            <c:numRef>
              <c:f>WorkingDashboard!$BB$3:$BB$4</c:f>
              <c:numCache>
                <c:formatCode>General</c:formatCode>
                <c:ptCount val="2"/>
                <c:pt idx="0">
                  <c:v>20</c:v>
                </c:pt>
                <c:pt idx="1">
                  <c:v>0</c:v>
                </c:pt>
              </c:numCache>
            </c:numRef>
          </c:val>
          <c:extLst>
            <c:ext xmlns:c16="http://schemas.microsoft.com/office/drawing/2014/chart" uri="{C3380CC4-5D6E-409C-BE32-E72D297353CC}">
              <c16:uniqueId val="{00000000-41B5-4897-8C56-7EFD345132E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Gender Balance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WorkingDashboard!$BE$2</c:f>
              <c:strCache>
                <c:ptCount val="1"/>
                <c:pt idx="0">
                  <c:v>Count</c:v>
                </c:pt>
              </c:strCache>
            </c:strRef>
          </c:tx>
          <c:spPr>
            <a:solidFill>
              <a:srgbClr val="EC4899"/>
            </a:solidFill>
          </c:spPr>
          <c:explosion val="25"/>
          <c:dPt>
            <c:idx val="0"/>
            <c:bubble3D val="0"/>
            <c:spPr>
              <a:solidFill>
                <a:srgbClr val="EC4899"/>
              </a:solidFill>
              <a:ln w="19050">
                <a:solidFill>
                  <a:schemeClr val="lt1"/>
                </a:solidFill>
              </a:ln>
              <a:effectLst/>
            </c:spPr>
            <c:extLst>
              <c:ext xmlns:c16="http://schemas.microsoft.com/office/drawing/2014/chart" uri="{C3380CC4-5D6E-409C-BE32-E72D297353CC}">
                <c16:uniqueId val="{00000001-5C70-4877-BAAD-7E140A106922}"/>
              </c:ext>
            </c:extLst>
          </c:dPt>
          <c:dPt>
            <c:idx val="1"/>
            <c:bubble3D val="0"/>
            <c:spPr>
              <a:solidFill>
                <a:srgbClr val="EC4899"/>
              </a:solidFill>
              <a:ln w="19050">
                <a:solidFill>
                  <a:schemeClr val="lt1"/>
                </a:solidFill>
              </a:ln>
              <a:effectLst/>
            </c:spPr>
            <c:extLst>
              <c:ext xmlns:c16="http://schemas.microsoft.com/office/drawing/2014/chart" uri="{C3380CC4-5D6E-409C-BE32-E72D297353CC}">
                <c16:uniqueId val="{00000003-5C70-4877-BAAD-7E140A106922}"/>
              </c:ext>
            </c:extLst>
          </c:dPt>
          <c:dPt>
            <c:idx val="2"/>
            <c:bubble3D val="0"/>
            <c:spPr>
              <a:solidFill>
                <a:srgbClr val="EC4899"/>
              </a:solidFill>
              <a:ln w="19050">
                <a:solidFill>
                  <a:schemeClr val="lt1"/>
                </a:solidFill>
              </a:ln>
              <a:effectLst/>
            </c:spPr>
            <c:extLst>
              <c:ext xmlns:c16="http://schemas.microsoft.com/office/drawing/2014/chart" uri="{C3380CC4-5D6E-409C-BE32-E72D297353CC}">
                <c16:uniqueId val="{00000005-5C70-4877-BAAD-7E140A1069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WorkingDashboard!$BD$3:$BD$5</c:f>
              <c:strCache>
                <c:ptCount val="3"/>
                <c:pt idx="0">
                  <c:v>Male</c:v>
                </c:pt>
                <c:pt idx="1">
                  <c:v>Female</c:v>
                </c:pt>
                <c:pt idx="2">
                  <c:v>Other</c:v>
                </c:pt>
              </c:strCache>
            </c:strRef>
          </c:cat>
          <c:val>
            <c:numRef>
              <c:f>WorkingDashboard!$BE$3:$BE$5</c:f>
              <c:numCache>
                <c:formatCode>General</c:formatCode>
                <c:ptCount val="3"/>
                <c:pt idx="0">
                  <c:v>9</c:v>
                </c:pt>
                <c:pt idx="1">
                  <c:v>11</c:v>
                </c:pt>
                <c:pt idx="2">
                  <c:v>0</c:v>
                </c:pt>
              </c:numCache>
            </c:numRef>
          </c:val>
          <c:extLst>
            <c:ext xmlns:c16="http://schemas.microsoft.com/office/drawing/2014/chart" uri="{C3380CC4-5D6E-409C-BE32-E72D297353CC}">
              <c16:uniqueId val="{00000000-9834-4660-8CD9-4735F1C0581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Performance Spread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WorkingDashboard!$BG$2</c:f>
              <c:strCache>
                <c:ptCount val="1"/>
                <c:pt idx="0">
                  <c:v>Rating</c:v>
                </c:pt>
              </c:strCache>
            </c:strRef>
          </c:tx>
          <c:spPr>
            <a:solidFill>
              <a:srgbClr val="10B98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WorkingDashboard!$BG$3:$BG$12</c:f>
              <c:numCache>
                <c:formatCode>General</c:formatCode>
                <c:ptCount val="10"/>
                <c:pt idx="0">
                  <c:v>1</c:v>
                </c:pt>
                <c:pt idx="1">
                  <c:v>2</c:v>
                </c:pt>
                <c:pt idx="2">
                  <c:v>3</c:v>
                </c:pt>
                <c:pt idx="3">
                  <c:v>4</c:v>
                </c:pt>
                <c:pt idx="4">
                  <c:v>5</c:v>
                </c:pt>
                <c:pt idx="5">
                  <c:v>6</c:v>
                </c:pt>
                <c:pt idx="6">
                  <c:v>7</c:v>
                </c:pt>
                <c:pt idx="7">
                  <c:v>8</c:v>
                </c:pt>
                <c:pt idx="8">
                  <c:v>9</c:v>
                </c:pt>
                <c:pt idx="9">
                  <c:v>10</c:v>
                </c:pt>
              </c:numCache>
            </c:numRef>
          </c:val>
          <c:extLst>
            <c:ext xmlns:c16="http://schemas.microsoft.com/office/drawing/2014/chart" uri="{C3380CC4-5D6E-409C-BE32-E72D297353CC}">
              <c16:uniqueId val="{00000000-B8AF-4FBC-8BE2-B4BE93CF0243}"/>
            </c:ext>
          </c:extLst>
        </c:ser>
        <c:ser>
          <c:idx val="1"/>
          <c:order val="1"/>
          <c:tx>
            <c:strRef>
              <c:f>WorkingDashboard!$BH$2</c:f>
              <c:strCache>
                <c:ptCount val="1"/>
                <c:pt idx="0">
                  <c:v>Employees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WorkingDashboard!$BH$3:$BH$12</c:f>
              <c:numCache>
                <c:formatCode>General</c:formatCode>
                <c:ptCount val="10"/>
                <c:pt idx="0">
                  <c:v>0</c:v>
                </c:pt>
                <c:pt idx="1">
                  <c:v>4</c:v>
                </c:pt>
                <c:pt idx="2">
                  <c:v>3</c:v>
                </c:pt>
                <c:pt idx="3">
                  <c:v>1</c:v>
                </c:pt>
                <c:pt idx="4">
                  <c:v>5</c:v>
                </c:pt>
                <c:pt idx="5">
                  <c:v>0</c:v>
                </c:pt>
                <c:pt idx="6">
                  <c:v>2</c:v>
                </c:pt>
                <c:pt idx="7">
                  <c:v>1</c:v>
                </c:pt>
                <c:pt idx="8">
                  <c:v>2</c:v>
                </c:pt>
                <c:pt idx="9">
                  <c:v>2</c:v>
                </c:pt>
              </c:numCache>
            </c:numRef>
          </c:val>
          <c:extLst>
            <c:ext xmlns:c16="http://schemas.microsoft.com/office/drawing/2014/chart" uri="{C3380CC4-5D6E-409C-BE32-E72D297353CC}">
              <c16:uniqueId val="{00000002-B8AF-4FBC-8BE2-B4BE93CF0243}"/>
            </c:ext>
          </c:extLst>
        </c:ser>
        <c:dLbls>
          <c:showLegendKey val="0"/>
          <c:showVal val="0"/>
          <c:showCatName val="0"/>
          <c:showSerName val="0"/>
          <c:showPercent val="0"/>
          <c:showBubbleSize val="0"/>
        </c:dLbls>
        <c:gapWidth val="219"/>
        <c:overlap val="-27"/>
        <c:axId val="1610926600"/>
        <c:axId val="1612300808"/>
      </c:barChart>
      <c:catAx>
        <c:axId val="161092660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300808"/>
        <c:crosses val="autoZero"/>
        <c:auto val="1"/>
        <c:lblAlgn val="ctr"/>
        <c:lblOffset val="100"/>
        <c:noMultiLvlLbl val="0"/>
      </c:catAx>
      <c:valAx>
        <c:axId val="1612300808"/>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926600"/>
        <c:crosses val="autoZero"/>
        <c:crossBetween val="between"/>
      </c:valAx>
      <c:spPr>
        <a:noFill/>
        <a:ln>
          <a:noFill/>
        </a:ln>
        <a:effectLst/>
      </c:spPr>
    </c:plotArea>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Avg Salary Mix</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WorkingDashboard!$BK$2</c:f>
              <c:strCache>
                <c:ptCount val="1"/>
                <c:pt idx="0">
                  <c:v>Avg Amount</c:v>
                </c:pt>
              </c:strCache>
            </c:strRef>
          </c:tx>
          <c:spPr>
            <a:solidFill>
              <a:srgbClr val="F59E0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WorkingDashboard!$BJ$3:$BJ$7</c:f>
              <c:strCache>
                <c:ptCount val="5"/>
                <c:pt idx="0">
                  <c:v>Basis Salary</c:v>
                </c:pt>
                <c:pt idx="1">
                  <c:v>Transport</c:v>
                </c:pt>
                <c:pt idx="2">
                  <c:v>Medical</c:v>
                </c:pt>
                <c:pt idx="3">
                  <c:v>Bonus</c:v>
                </c:pt>
                <c:pt idx="4">
                  <c:v>HRA</c:v>
                </c:pt>
              </c:strCache>
            </c:strRef>
          </c:cat>
          <c:val>
            <c:numRef>
              <c:f>WorkingDashboard!$BK$3:$BK$7</c:f>
              <c:numCache>
                <c:formatCode>\₹#,##0</c:formatCode>
                <c:ptCount val="5"/>
                <c:pt idx="0">
                  <c:v>38450</c:v>
                </c:pt>
                <c:pt idx="1">
                  <c:v>4161</c:v>
                </c:pt>
                <c:pt idx="2">
                  <c:v>0</c:v>
                </c:pt>
                <c:pt idx="3">
                  <c:v>1937</c:v>
                </c:pt>
                <c:pt idx="4">
                  <c:v>12784</c:v>
                </c:pt>
              </c:numCache>
            </c:numRef>
          </c:val>
          <c:extLst>
            <c:ext xmlns:c16="http://schemas.microsoft.com/office/drawing/2014/chart" uri="{C3380CC4-5D6E-409C-BE32-E72D297353CC}">
              <c16:uniqueId val="{00000000-8F33-4BED-8802-56EF692FF905}"/>
            </c:ext>
          </c:extLst>
        </c:ser>
        <c:dLbls>
          <c:showLegendKey val="0"/>
          <c:showVal val="0"/>
          <c:showCatName val="0"/>
          <c:showSerName val="0"/>
          <c:showPercent val="0"/>
          <c:showBubbleSize val="0"/>
        </c:dLbls>
        <c:gapWidth val="182"/>
        <c:axId val="1584585224"/>
        <c:axId val="1584591368"/>
      </c:barChart>
      <c:catAx>
        <c:axId val="1584585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591368"/>
        <c:crosses val="autoZero"/>
        <c:auto val="1"/>
        <c:lblAlgn val="ctr"/>
        <c:lblOffset val="100"/>
        <c:noMultiLvlLbl val="0"/>
      </c:catAx>
      <c:valAx>
        <c:axId val="1584591368"/>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585224"/>
        <c:crosses val="autoZero"/>
        <c:crossBetween val="between"/>
      </c:valAx>
      <c:spPr>
        <a:noFill/>
        <a:ln>
          <a:noFill/>
        </a:ln>
        <a:effectLst/>
      </c:spPr>
    </c:plotArea>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Increment Eligibility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WorkingDashboard!$BN$2</c:f>
              <c:strCache>
                <c:ptCount val="1"/>
                <c:pt idx="0">
                  <c:v>Count</c:v>
                </c:pt>
              </c:strCache>
            </c:strRef>
          </c:tx>
          <c:spPr>
            <a:solidFill>
              <a:srgbClr val="8B5CF6"/>
            </a:solidFill>
          </c:spPr>
          <c:explosion val="25"/>
          <c:dPt>
            <c:idx val="0"/>
            <c:bubble3D val="0"/>
            <c:spPr>
              <a:solidFill>
                <a:srgbClr val="8B5CF6"/>
              </a:solidFill>
              <a:ln w="19050">
                <a:solidFill>
                  <a:schemeClr val="lt1"/>
                </a:solidFill>
              </a:ln>
              <a:effectLst/>
            </c:spPr>
            <c:extLst>
              <c:ext xmlns:c16="http://schemas.microsoft.com/office/drawing/2014/chart" uri="{C3380CC4-5D6E-409C-BE32-E72D297353CC}">
                <c16:uniqueId val="{00000001-BFCC-452B-A00A-60A64EAB7D81}"/>
              </c:ext>
            </c:extLst>
          </c:dPt>
          <c:dPt>
            <c:idx val="1"/>
            <c:bubble3D val="0"/>
            <c:spPr>
              <a:solidFill>
                <a:srgbClr val="8B5CF6"/>
              </a:solidFill>
              <a:ln w="19050">
                <a:solidFill>
                  <a:schemeClr val="lt1"/>
                </a:solidFill>
              </a:ln>
              <a:effectLst/>
            </c:spPr>
            <c:extLst>
              <c:ext xmlns:c16="http://schemas.microsoft.com/office/drawing/2014/chart" uri="{C3380CC4-5D6E-409C-BE32-E72D297353CC}">
                <c16:uniqueId val="{00000003-BFCC-452B-A00A-60A64EAB7D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WorkingDashboard!$BM$3:$BM$4</c:f>
              <c:strCache>
                <c:ptCount val="2"/>
                <c:pt idx="0">
                  <c:v>Eligible</c:v>
                </c:pt>
                <c:pt idx="1">
                  <c:v>Not Eligible</c:v>
                </c:pt>
              </c:strCache>
            </c:strRef>
          </c:cat>
          <c:val>
            <c:numRef>
              <c:f>WorkingDashboard!$BN$3:$BN$4</c:f>
              <c:numCache>
                <c:formatCode>General</c:formatCode>
                <c:ptCount val="2"/>
                <c:pt idx="0">
                  <c:v>9</c:v>
                </c:pt>
                <c:pt idx="1">
                  <c:v>11</c:v>
                </c:pt>
              </c:numCache>
            </c:numRef>
          </c:val>
          <c:extLst>
            <c:ext xmlns:c16="http://schemas.microsoft.com/office/drawing/2014/chart" uri="{C3380CC4-5D6E-409C-BE32-E72D297353CC}">
              <c16:uniqueId val="{00000000-31EC-4016-A0C9-13192F60476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Experience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WorkingDashboard!$BQ$31</c:f>
              <c:strCache>
                <c:ptCount val="1"/>
                <c:pt idx="0">
                  <c:v>Employees</c:v>
                </c:pt>
              </c:strCache>
            </c:strRef>
          </c:tx>
          <c:spPr>
            <a:solidFill>
              <a:srgbClr val="38BDF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WorkingDashboard!$BP$32:$BP$34</c:f>
              <c:strCache>
                <c:ptCount val="3"/>
                <c:pt idx="0">
                  <c:v>0-2 Years</c:v>
                </c:pt>
                <c:pt idx="1">
                  <c:v>2-5 Years</c:v>
                </c:pt>
                <c:pt idx="2">
                  <c:v>5+ Years</c:v>
                </c:pt>
              </c:strCache>
            </c:strRef>
          </c:cat>
          <c:val>
            <c:numRef>
              <c:f>WorkingDashboard!$BQ$32:$BQ$34</c:f>
              <c:numCache>
                <c:formatCode>General</c:formatCode>
                <c:ptCount val="3"/>
                <c:pt idx="0">
                  <c:v>8</c:v>
                </c:pt>
                <c:pt idx="1">
                  <c:v>10</c:v>
                </c:pt>
                <c:pt idx="2">
                  <c:v>2</c:v>
                </c:pt>
              </c:numCache>
            </c:numRef>
          </c:val>
          <c:extLst>
            <c:ext xmlns:c16="http://schemas.microsoft.com/office/drawing/2014/chart" uri="{C3380CC4-5D6E-409C-BE32-E72D297353CC}">
              <c16:uniqueId val="{00000000-6A3E-41F1-916A-C743773A44C3}"/>
            </c:ext>
          </c:extLst>
        </c:ser>
        <c:dLbls>
          <c:showLegendKey val="0"/>
          <c:showVal val="0"/>
          <c:showCatName val="0"/>
          <c:showSerName val="0"/>
          <c:showPercent val="0"/>
          <c:showBubbleSize val="0"/>
        </c:dLbls>
        <c:gapWidth val="219"/>
        <c:overlap val="-27"/>
        <c:axId val="1586575368"/>
        <c:axId val="1586581512"/>
      </c:barChart>
      <c:catAx>
        <c:axId val="1586575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581512"/>
        <c:crosses val="autoZero"/>
        <c:auto val="1"/>
        <c:lblAlgn val="ctr"/>
        <c:lblOffset val="100"/>
        <c:noMultiLvlLbl val="0"/>
      </c:catAx>
      <c:valAx>
        <c:axId val="158658151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575368"/>
        <c:crosses val="autoZero"/>
        <c:crossBetween val="between"/>
      </c:valAx>
      <c:spPr>
        <a:noFill/>
        <a:ln>
          <a:noFill/>
        </a:ln>
        <a:effectLst/>
      </c:spPr>
    </c:plotArea>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Performer Mix</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WorkingDashboard!$BT$31</c:f>
              <c:strCache>
                <c:ptCount val="1"/>
                <c:pt idx="0">
                  <c:v>Employees</c:v>
                </c:pt>
              </c:strCache>
            </c:strRef>
          </c:tx>
          <c:spPr>
            <a:solidFill>
              <a:srgbClr val="A855F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WorkingDashboard!$BS$32:$BS$35</c:f>
              <c:strCache>
                <c:ptCount val="4"/>
                <c:pt idx="0">
                  <c:v>Top (8-10)</c:v>
                </c:pt>
                <c:pt idx="1">
                  <c:v>Strong (6-7)</c:v>
                </c:pt>
                <c:pt idx="2">
                  <c:v>Average (4-5)</c:v>
                </c:pt>
                <c:pt idx="3">
                  <c:v>Needs Support (1-3)</c:v>
                </c:pt>
              </c:strCache>
            </c:strRef>
          </c:cat>
          <c:val>
            <c:numRef>
              <c:f>WorkingDashboard!$BT$32:$BT$35</c:f>
              <c:numCache>
                <c:formatCode>General</c:formatCode>
                <c:ptCount val="4"/>
                <c:pt idx="0">
                  <c:v>5</c:v>
                </c:pt>
                <c:pt idx="1">
                  <c:v>2</c:v>
                </c:pt>
                <c:pt idx="2">
                  <c:v>6</c:v>
                </c:pt>
                <c:pt idx="3">
                  <c:v>7</c:v>
                </c:pt>
              </c:numCache>
            </c:numRef>
          </c:val>
          <c:extLst>
            <c:ext xmlns:c16="http://schemas.microsoft.com/office/drawing/2014/chart" uri="{C3380CC4-5D6E-409C-BE32-E72D297353CC}">
              <c16:uniqueId val="{00000000-AEE0-4789-8C9F-B13318AA8203}"/>
            </c:ext>
          </c:extLst>
        </c:ser>
        <c:dLbls>
          <c:showLegendKey val="0"/>
          <c:showVal val="0"/>
          <c:showCatName val="0"/>
          <c:showSerName val="0"/>
          <c:showPercent val="0"/>
          <c:showBubbleSize val="0"/>
        </c:dLbls>
        <c:gapWidth val="182"/>
        <c:axId val="1609218056"/>
        <c:axId val="1609633800"/>
      </c:barChart>
      <c:catAx>
        <c:axId val="1609218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633800"/>
        <c:crosses val="autoZero"/>
        <c:auto val="1"/>
        <c:lblAlgn val="ctr"/>
        <c:lblOffset val="100"/>
        <c:noMultiLvlLbl val="0"/>
      </c:catAx>
      <c:valAx>
        <c:axId val="1609633800"/>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218056"/>
        <c:crosses val="autoZero"/>
        <c:crossBetween val="between"/>
      </c:valAx>
      <c:spPr>
        <a:noFill/>
        <a:ln>
          <a:noFill/>
        </a:ln>
        <a:effectLst/>
      </c:spPr>
    </c:plotArea>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Leave Taken Pattern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WorkingDashboard!$BW$31</c:f>
              <c:strCache>
                <c:ptCount val="1"/>
                <c:pt idx="0">
                  <c:v>Employees</c:v>
                </c:pt>
              </c:strCache>
            </c:strRef>
          </c:tx>
          <c:spPr>
            <a:ln w="28575" cap="rnd">
              <a:solidFill>
                <a:srgbClr val="F97316"/>
              </a:solidFill>
              <a:prstDash val="solid"/>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WorkingDashboard!$BV$32:$BV$35</c:f>
              <c:strCache>
                <c:ptCount val="4"/>
                <c:pt idx="0">
                  <c:v>0-3 Days</c:v>
                </c:pt>
                <c:pt idx="1">
                  <c:v>4-6 Days</c:v>
                </c:pt>
                <c:pt idx="2">
                  <c:v>7-10 Days</c:v>
                </c:pt>
                <c:pt idx="3">
                  <c:v>10+ Days</c:v>
                </c:pt>
              </c:strCache>
            </c:strRef>
          </c:cat>
          <c:val>
            <c:numRef>
              <c:f>WorkingDashboard!$BW$32:$BW$35</c:f>
              <c:numCache>
                <c:formatCode>General</c:formatCode>
                <c:ptCount val="4"/>
                <c:pt idx="0">
                  <c:v>0</c:v>
                </c:pt>
                <c:pt idx="1">
                  <c:v>10</c:v>
                </c:pt>
                <c:pt idx="2">
                  <c:v>10</c:v>
                </c:pt>
                <c:pt idx="3">
                  <c:v>0</c:v>
                </c:pt>
              </c:numCache>
            </c:numRef>
          </c:val>
          <c:smooth val="0"/>
          <c:extLst>
            <c:ext xmlns:c16="http://schemas.microsoft.com/office/drawing/2014/chart" uri="{C3380CC4-5D6E-409C-BE32-E72D297353CC}">
              <c16:uniqueId val="{00000000-6572-41B8-A11A-472E5C4FBB8A}"/>
            </c:ext>
          </c:extLst>
        </c:ser>
        <c:dLbls>
          <c:showLegendKey val="0"/>
          <c:showVal val="0"/>
          <c:showCatName val="0"/>
          <c:showSerName val="0"/>
          <c:showPercent val="0"/>
          <c:showBubbleSize val="0"/>
        </c:dLbls>
        <c:marker val="1"/>
        <c:smooth val="0"/>
        <c:axId val="1610918408"/>
        <c:axId val="1612431880"/>
      </c:lineChart>
      <c:catAx>
        <c:axId val="1610918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431880"/>
        <c:crosses val="autoZero"/>
        <c:auto val="1"/>
        <c:lblAlgn val="ctr"/>
        <c:lblOffset val="100"/>
        <c:noMultiLvlLbl val="0"/>
      </c:catAx>
      <c:valAx>
        <c:axId val="161243188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918408"/>
        <c:crosses val="autoZero"/>
        <c:crossBetween val="between"/>
      </c:valAx>
      <c:spPr>
        <a:noFill/>
        <a:ln>
          <a:noFill/>
        </a:ln>
        <a:effectLst/>
      </c:spPr>
    </c:plotArea>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Work Mode Split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WorkingDashboard!$BZ$31</c:f>
              <c:strCache>
                <c:ptCount val="1"/>
                <c:pt idx="0">
                  <c:v>Employees</c:v>
                </c:pt>
              </c:strCache>
            </c:strRef>
          </c:tx>
          <c:spPr>
            <a:solidFill>
              <a:srgbClr val="22C55E"/>
            </a:solidFill>
          </c:spPr>
          <c:explosion val="25"/>
          <c:dPt>
            <c:idx val="0"/>
            <c:bubble3D val="0"/>
            <c:spPr>
              <a:solidFill>
                <a:srgbClr val="22C55E"/>
              </a:solidFill>
              <a:ln w="19050">
                <a:solidFill>
                  <a:schemeClr val="lt1"/>
                </a:solidFill>
              </a:ln>
              <a:effectLst/>
            </c:spPr>
            <c:extLst>
              <c:ext xmlns:c16="http://schemas.microsoft.com/office/drawing/2014/chart" uri="{C3380CC4-5D6E-409C-BE32-E72D297353CC}">
                <c16:uniqueId val="{00000001-6026-4918-B523-93E932A27955}"/>
              </c:ext>
            </c:extLst>
          </c:dPt>
          <c:dPt>
            <c:idx val="1"/>
            <c:bubble3D val="0"/>
            <c:spPr>
              <a:solidFill>
                <a:srgbClr val="22C55E"/>
              </a:solidFill>
              <a:ln w="19050">
                <a:solidFill>
                  <a:schemeClr val="lt1"/>
                </a:solidFill>
              </a:ln>
              <a:effectLst/>
            </c:spPr>
            <c:extLst>
              <c:ext xmlns:c16="http://schemas.microsoft.com/office/drawing/2014/chart" uri="{C3380CC4-5D6E-409C-BE32-E72D297353CC}">
                <c16:uniqueId val="{00000003-6026-4918-B523-93E932A27955}"/>
              </c:ext>
            </c:extLst>
          </c:dPt>
          <c:dPt>
            <c:idx val="2"/>
            <c:bubble3D val="0"/>
            <c:spPr>
              <a:solidFill>
                <a:srgbClr val="22C55E"/>
              </a:solidFill>
              <a:ln w="19050">
                <a:solidFill>
                  <a:schemeClr val="lt1"/>
                </a:solidFill>
              </a:ln>
              <a:effectLst/>
            </c:spPr>
            <c:extLst>
              <c:ext xmlns:c16="http://schemas.microsoft.com/office/drawing/2014/chart" uri="{C3380CC4-5D6E-409C-BE32-E72D297353CC}">
                <c16:uniqueId val="{00000005-6026-4918-B523-93E932A279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WorkingDashboard!$BY$32:$BY$34</c:f>
              <c:strCache>
                <c:ptCount val="3"/>
                <c:pt idx="0">
                  <c:v>WFO</c:v>
                </c:pt>
                <c:pt idx="1">
                  <c:v>WFH</c:v>
                </c:pt>
                <c:pt idx="2">
                  <c:v>Hybrid</c:v>
                </c:pt>
              </c:strCache>
            </c:strRef>
          </c:cat>
          <c:val>
            <c:numRef>
              <c:f>WorkingDashboard!$BZ$32:$BZ$34</c:f>
              <c:numCache>
                <c:formatCode>General</c:formatCode>
                <c:ptCount val="3"/>
                <c:pt idx="0">
                  <c:v>5</c:v>
                </c:pt>
                <c:pt idx="1">
                  <c:v>6</c:v>
                </c:pt>
                <c:pt idx="2">
                  <c:v>9</c:v>
                </c:pt>
              </c:numCache>
            </c:numRef>
          </c:val>
          <c:extLst>
            <c:ext xmlns:c16="http://schemas.microsoft.com/office/drawing/2014/chart" uri="{C3380CC4-5D6E-409C-BE32-E72D297353CC}">
              <c16:uniqueId val="{00000000-4520-4BB2-911C-E53F72B0E65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Experience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WorkingDashboard!$BQ$31</c:f>
              <c:strCache>
                <c:ptCount val="1"/>
                <c:pt idx="0">
                  <c:v>Employees</c:v>
                </c:pt>
              </c:strCache>
            </c:strRef>
          </c:tx>
          <c:spPr>
            <a:solidFill>
              <a:srgbClr val="38BDF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WorkingDashboard!$BP$32:$BP$34</c:f>
              <c:strCache>
                <c:ptCount val="3"/>
                <c:pt idx="0">
                  <c:v>0-2 Years</c:v>
                </c:pt>
                <c:pt idx="1">
                  <c:v>2-5 Years</c:v>
                </c:pt>
                <c:pt idx="2">
                  <c:v>5+ Years</c:v>
                </c:pt>
              </c:strCache>
            </c:strRef>
          </c:cat>
          <c:val>
            <c:numRef>
              <c:f>WorkingDashboard!$BQ$32:$BQ$34</c:f>
              <c:numCache>
                <c:formatCode>General</c:formatCode>
                <c:ptCount val="3"/>
                <c:pt idx="0">
                  <c:v>8</c:v>
                </c:pt>
                <c:pt idx="1">
                  <c:v>10</c:v>
                </c:pt>
                <c:pt idx="2">
                  <c:v>2</c:v>
                </c:pt>
              </c:numCache>
            </c:numRef>
          </c:val>
          <c:extLst>
            <c:ext xmlns:c16="http://schemas.microsoft.com/office/drawing/2014/chart" uri="{C3380CC4-5D6E-409C-BE32-E72D297353CC}">
              <c16:uniqueId val="{00000000-145F-4347-8A35-6BB8D60FBAF7}"/>
            </c:ext>
          </c:extLst>
        </c:ser>
        <c:dLbls>
          <c:showLegendKey val="0"/>
          <c:showVal val="0"/>
          <c:showCatName val="0"/>
          <c:showSerName val="0"/>
          <c:showPercent val="0"/>
          <c:showBubbleSize val="0"/>
        </c:dLbls>
        <c:gapWidth val="219"/>
        <c:overlap val="-27"/>
        <c:axId val="1586575368"/>
        <c:axId val="1586581512"/>
      </c:barChart>
      <c:catAx>
        <c:axId val="1586575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581512"/>
        <c:crosses val="autoZero"/>
        <c:auto val="1"/>
        <c:lblAlgn val="ctr"/>
        <c:lblOffset val="100"/>
        <c:noMultiLvlLbl val="0"/>
      </c:catAx>
      <c:valAx>
        <c:axId val="158658151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575368"/>
        <c:crosses val="autoZero"/>
        <c:crossBetween val="between"/>
      </c:valAx>
      <c:spPr>
        <a:noFill/>
        <a:ln>
          <a:noFill/>
        </a:ln>
        <a:effectLst/>
      </c:spPr>
    </c:plotArea>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Performer Mix</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WorkingDashboard!$BT$31</c:f>
              <c:strCache>
                <c:ptCount val="1"/>
                <c:pt idx="0">
                  <c:v>Employees</c:v>
                </c:pt>
              </c:strCache>
            </c:strRef>
          </c:tx>
          <c:spPr>
            <a:solidFill>
              <a:srgbClr val="A855F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WorkingDashboard!$BS$32:$BS$35</c:f>
              <c:strCache>
                <c:ptCount val="4"/>
                <c:pt idx="0">
                  <c:v>Top (8-10)</c:v>
                </c:pt>
                <c:pt idx="1">
                  <c:v>Strong (6-7)</c:v>
                </c:pt>
                <c:pt idx="2">
                  <c:v>Average (4-5)</c:v>
                </c:pt>
                <c:pt idx="3">
                  <c:v>Needs Support (1-3)</c:v>
                </c:pt>
              </c:strCache>
            </c:strRef>
          </c:cat>
          <c:val>
            <c:numRef>
              <c:f>WorkingDashboard!$BT$32:$BT$35</c:f>
              <c:numCache>
                <c:formatCode>General</c:formatCode>
                <c:ptCount val="4"/>
                <c:pt idx="0">
                  <c:v>5</c:v>
                </c:pt>
                <c:pt idx="1">
                  <c:v>2</c:v>
                </c:pt>
                <c:pt idx="2">
                  <c:v>6</c:v>
                </c:pt>
                <c:pt idx="3">
                  <c:v>7</c:v>
                </c:pt>
              </c:numCache>
            </c:numRef>
          </c:val>
          <c:extLst>
            <c:ext xmlns:c16="http://schemas.microsoft.com/office/drawing/2014/chart" uri="{C3380CC4-5D6E-409C-BE32-E72D297353CC}">
              <c16:uniqueId val="{00000000-68BA-4443-9DC4-B8845094E01E}"/>
            </c:ext>
          </c:extLst>
        </c:ser>
        <c:dLbls>
          <c:showLegendKey val="0"/>
          <c:showVal val="0"/>
          <c:showCatName val="0"/>
          <c:showSerName val="0"/>
          <c:showPercent val="0"/>
          <c:showBubbleSize val="0"/>
        </c:dLbls>
        <c:gapWidth val="182"/>
        <c:axId val="1609218056"/>
        <c:axId val="1609633800"/>
      </c:barChart>
      <c:catAx>
        <c:axId val="1609218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633800"/>
        <c:crosses val="autoZero"/>
        <c:auto val="1"/>
        <c:lblAlgn val="ctr"/>
        <c:lblOffset val="100"/>
        <c:noMultiLvlLbl val="0"/>
      </c:catAx>
      <c:valAx>
        <c:axId val="1609633800"/>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218056"/>
        <c:crosses val="autoZero"/>
        <c:crossBetween val="between"/>
      </c:valAx>
      <c:spPr>
        <a:noFill/>
        <a:ln>
          <a:noFill/>
        </a:ln>
        <a:effectLst/>
      </c:spPr>
    </c:plotArea>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Leave Taken Pattern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WorkingDashboard!$BW$31</c:f>
              <c:strCache>
                <c:ptCount val="1"/>
                <c:pt idx="0">
                  <c:v>Employees</c:v>
                </c:pt>
              </c:strCache>
            </c:strRef>
          </c:tx>
          <c:spPr>
            <a:ln w="28575" cap="rnd">
              <a:solidFill>
                <a:srgbClr val="F97316"/>
              </a:solidFill>
              <a:prstDash val="solid"/>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WorkingDashboard!$BV$32:$BV$35</c:f>
              <c:strCache>
                <c:ptCount val="4"/>
                <c:pt idx="0">
                  <c:v>0-3 Days</c:v>
                </c:pt>
                <c:pt idx="1">
                  <c:v>4-6 Days</c:v>
                </c:pt>
                <c:pt idx="2">
                  <c:v>7-10 Days</c:v>
                </c:pt>
                <c:pt idx="3">
                  <c:v>10+ Days</c:v>
                </c:pt>
              </c:strCache>
            </c:strRef>
          </c:cat>
          <c:val>
            <c:numRef>
              <c:f>WorkingDashboard!$BW$32:$BW$35</c:f>
              <c:numCache>
                <c:formatCode>General</c:formatCode>
                <c:ptCount val="4"/>
                <c:pt idx="0">
                  <c:v>0</c:v>
                </c:pt>
                <c:pt idx="1">
                  <c:v>10</c:v>
                </c:pt>
                <c:pt idx="2">
                  <c:v>10</c:v>
                </c:pt>
                <c:pt idx="3">
                  <c:v>0</c:v>
                </c:pt>
              </c:numCache>
            </c:numRef>
          </c:val>
          <c:smooth val="0"/>
          <c:extLst>
            <c:ext xmlns:c16="http://schemas.microsoft.com/office/drawing/2014/chart" uri="{C3380CC4-5D6E-409C-BE32-E72D297353CC}">
              <c16:uniqueId val="{00000000-8ADD-43B1-8799-FFC431BE4135}"/>
            </c:ext>
          </c:extLst>
        </c:ser>
        <c:dLbls>
          <c:showLegendKey val="0"/>
          <c:showVal val="0"/>
          <c:showCatName val="0"/>
          <c:showSerName val="0"/>
          <c:showPercent val="0"/>
          <c:showBubbleSize val="0"/>
        </c:dLbls>
        <c:marker val="1"/>
        <c:smooth val="0"/>
        <c:axId val="1610918408"/>
        <c:axId val="1612431880"/>
      </c:lineChart>
      <c:catAx>
        <c:axId val="1610918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431880"/>
        <c:crosses val="autoZero"/>
        <c:auto val="1"/>
        <c:lblAlgn val="ctr"/>
        <c:lblOffset val="100"/>
        <c:noMultiLvlLbl val="0"/>
      </c:catAx>
      <c:valAx>
        <c:axId val="161243188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918408"/>
        <c:crosses val="autoZero"/>
        <c:crossBetween val="between"/>
      </c:valAx>
      <c:spPr>
        <a:noFill/>
        <a:ln>
          <a:noFill/>
        </a:ln>
        <a:effectLst/>
      </c:spPr>
    </c:plotArea>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Work Mode Split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WorkingDashboard!$BZ$31</c:f>
              <c:strCache>
                <c:ptCount val="1"/>
                <c:pt idx="0">
                  <c:v>Employees</c:v>
                </c:pt>
              </c:strCache>
            </c:strRef>
          </c:tx>
          <c:spPr>
            <a:solidFill>
              <a:srgbClr val="22C55E"/>
            </a:solidFill>
          </c:spPr>
          <c:explosion val="25"/>
          <c:dPt>
            <c:idx val="0"/>
            <c:bubble3D val="0"/>
            <c:spPr>
              <a:solidFill>
                <a:srgbClr val="22C55E"/>
              </a:solidFill>
              <a:ln w="19050">
                <a:solidFill>
                  <a:schemeClr val="lt1"/>
                </a:solidFill>
              </a:ln>
              <a:effectLst/>
            </c:spPr>
            <c:extLst>
              <c:ext xmlns:c16="http://schemas.microsoft.com/office/drawing/2014/chart" uri="{C3380CC4-5D6E-409C-BE32-E72D297353CC}">
                <c16:uniqueId val="{00000001-BD2D-4828-A786-141D4D95504D}"/>
              </c:ext>
            </c:extLst>
          </c:dPt>
          <c:dPt>
            <c:idx val="1"/>
            <c:bubble3D val="0"/>
            <c:spPr>
              <a:solidFill>
                <a:srgbClr val="22C55E"/>
              </a:solidFill>
              <a:ln w="19050">
                <a:solidFill>
                  <a:schemeClr val="lt1"/>
                </a:solidFill>
              </a:ln>
              <a:effectLst/>
            </c:spPr>
            <c:extLst>
              <c:ext xmlns:c16="http://schemas.microsoft.com/office/drawing/2014/chart" uri="{C3380CC4-5D6E-409C-BE32-E72D297353CC}">
                <c16:uniqueId val="{00000003-BD2D-4828-A786-141D4D95504D}"/>
              </c:ext>
            </c:extLst>
          </c:dPt>
          <c:dPt>
            <c:idx val="2"/>
            <c:bubble3D val="0"/>
            <c:spPr>
              <a:solidFill>
                <a:srgbClr val="22C55E"/>
              </a:solidFill>
              <a:ln w="19050">
                <a:solidFill>
                  <a:schemeClr val="lt1"/>
                </a:solidFill>
              </a:ln>
              <a:effectLst/>
            </c:spPr>
            <c:extLst>
              <c:ext xmlns:c16="http://schemas.microsoft.com/office/drawing/2014/chart" uri="{C3380CC4-5D6E-409C-BE32-E72D297353CC}">
                <c16:uniqueId val="{00000005-BD2D-4828-A786-141D4D9550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WorkingDashboard!$BY$32:$BY$34</c:f>
              <c:strCache>
                <c:ptCount val="3"/>
                <c:pt idx="0">
                  <c:v>WFO</c:v>
                </c:pt>
                <c:pt idx="1">
                  <c:v>WFH</c:v>
                </c:pt>
                <c:pt idx="2">
                  <c:v>Hybrid</c:v>
                </c:pt>
              </c:strCache>
            </c:strRef>
          </c:cat>
          <c:val>
            <c:numRef>
              <c:f>WorkingDashboard!$BZ$32:$BZ$34</c:f>
              <c:numCache>
                <c:formatCode>General</c:formatCode>
                <c:ptCount val="3"/>
                <c:pt idx="0">
                  <c:v>5</c:v>
                </c:pt>
                <c:pt idx="1">
                  <c:v>6</c:v>
                </c:pt>
                <c:pt idx="2">
                  <c:v>9</c:v>
                </c:pt>
              </c:numCache>
            </c:numRef>
          </c:val>
          <c:extLst>
            <c:ext xmlns:c16="http://schemas.microsoft.com/office/drawing/2014/chart" uri="{C3380CC4-5D6E-409C-BE32-E72D297353CC}">
              <c16:uniqueId val="{00000006-BD2D-4828-A786-141D4D95504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chart" Target="../charts/chart22.xml"/><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chart" Target="../charts/chart21.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chart" Target="../charts/chart20.xml"/><Relationship Id="rId5" Type="http://schemas.openxmlformats.org/officeDocument/2006/relationships/chart" Target="../charts/chart14.xml"/><Relationship Id="rId10" Type="http://schemas.openxmlformats.org/officeDocument/2006/relationships/chart" Target="../charts/chart19.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3</xdr:col>
      <xdr:colOff>238125</xdr:colOff>
      <xdr:row>7</xdr:row>
      <xdr:rowOff>161925</xdr:rowOff>
    </xdr:from>
    <xdr:to>
      <xdr:col>12</xdr:col>
      <xdr:colOff>142875</xdr:colOff>
      <xdr:row>24</xdr:row>
      <xdr:rowOff>85725</xdr:rowOff>
    </xdr:to>
    <xdr:graphicFrame macro="">
      <xdr:nvGraphicFramePr>
        <xdr:cNvPr id="6" name="ExpChart2">
          <a:extLst>
            <a:ext uri="{FF2B5EF4-FFF2-40B4-BE49-F238E27FC236}">
              <a16:creationId xmlns:a16="http://schemas.microsoft.com/office/drawing/2014/main" id="{29C87C39-62D5-4E0D-B0F0-28445B6A8045}"/>
            </a:ext>
            <a:ext uri="{147F2762-F138-4A5C-976F-8EAC2B608ADB}">
              <a16:predDERef xmlns:a16="http://schemas.microsoft.com/office/drawing/2014/main" pred="{AD869003-D040-42AE-BFC9-9A856CE33E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342900</xdr:colOff>
      <xdr:row>7</xdr:row>
      <xdr:rowOff>152400</xdr:rowOff>
    </xdr:from>
    <xdr:to>
      <xdr:col>21</xdr:col>
      <xdr:colOff>161925</xdr:colOff>
      <xdr:row>24</xdr:row>
      <xdr:rowOff>133350</xdr:rowOff>
    </xdr:to>
    <xdr:graphicFrame macro="">
      <xdr:nvGraphicFramePr>
        <xdr:cNvPr id="7" name="PerformerChart2">
          <a:extLst>
            <a:ext uri="{FF2B5EF4-FFF2-40B4-BE49-F238E27FC236}">
              <a16:creationId xmlns:a16="http://schemas.microsoft.com/office/drawing/2014/main" id="{6F6D535C-7ACF-4F2E-89CE-69D19F51F760}"/>
            </a:ext>
            <a:ext uri="{147F2762-F138-4A5C-976F-8EAC2B608ADB}">
              <a16:predDERef xmlns:a16="http://schemas.microsoft.com/office/drawing/2014/main" pred="{29C87C39-62D5-4E0D-B0F0-28445B6A80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200025</xdr:colOff>
      <xdr:row>25</xdr:row>
      <xdr:rowOff>123825</xdr:rowOff>
    </xdr:from>
    <xdr:to>
      <xdr:col>12</xdr:col>
      <xdr:colOff>142875</xdr:colOff>
      <xdr:row>40</xdr:row>
      <xdr:rowOff>76200</xdr:rowOff>
    </xdr:to>
    <xdr:graphicFrame macro="">
      <xdr:nvGraphicFramePr>
        <xdr:cNvPr id="8" name="LeaveChart2">
          <a:extLst>
            <a:ext uri="{FF2B5EF4-FFF2-40B4-BE49-F238E27FC236}">
              <a16:creationId xmlns:a16="http://schemas.microsoft.com/office/drawing/2014/main" id="{3CA470DE-1E1F-484F-BEEE-E02FDA871AF2}"/>
            </a:ext>
            <a:ext uri="{147F2762-F138-4A5C-976F-8EAC2B608ADB}">
              <a16:predDERef xmlns:a16="http://schemas.microsoft.com/office/drawing/2014/main" pred="{6F6D535C-7ACF-4F2E-89CE-69D19F51F7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342900</xdr:colOff>
      <xdr:row>25</xdr:row>
      <xdr:rowOff>123825</xdr:rowOff>
    </xdr:from>
    <xdr:to>
      <xdr:col>21</xdr:col>
      <xdr:colOff>161925</xdr:colOff>
      <xdr:row>40</xdr:row>
      <xdr:rowOff>66675</xdr:rowOff>
    </xdr:to>
    <xdr:graphicFrame macro="">
      <xdr:nvGraphicFramePr>
        <xdr:cNvPr id="9" name="WorkModeChart2">
          <a:extLst>
            <a:ext uri="{FF2B5EF4-FFF2-40B4-BE49-F238E27FC236}">
              <a16:creationId xmlns:a16="http://schemas.microsoft.com/office/drawing/2014/main" id="{FD21B4EF-95B6-409B-988E-7BC1510FFFC9}"/>
            </a:ext>
            <a:ext uri="{147F2762-F138-4A5C-976F-8EAC2B608ADB}">
              <a16:predDERef xmlns:a16="http://schemas.microsoft.com/office/drawing/2014/main" pred="{3CA470DE-1E1F-484F-BEEE-E02FDA871A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409575</xdr:colOff>
      <xdr:row>25</xdr:row>
      <xdr:rowOff>190500</xdr:rowOff>
    </xdr:from>
    <xdr:to>
      <xdr:col>32</xdr:col>
      <xdr:colOff>38100</xdr:colOff>
      <xdr:row>40</xdr:row>
      <xdr:rowOff>142875</xdr:rowOff>
    </xdr:to>
    <xdr:graphicFrame macro="">
      <xdr:nvGraphicFramePr>
        <xdr:cNvPr id="10" name="KPI_Headcount">
          <a:extLst>
            <a:ext uri="{FF2B5EF4-FFF2-40B4-BE49-F238E27FC236}">
              <a16:creationId xmlns:a16="http://schemas.microsoft.com/office/drawing/2014/main" id="{C810E04E-68FF-477A-84B4-41F3D403CC4A}"/>
            </a:ext>
            <a:ext uri="{147F2762-F138-4A5C-976F-8EAC2B608ADB}">
              <a16:predDERef xmlns:a16="http://schemas.microsoft.com/office/drawing/2014/main" pred="{FD21B4EF-95B6-409B-988E-7BC1510FFF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390525</xdr:colOff>
      <xdr:row>7</xdr:row>
      <xdr:rowOff>133350</xdr:rowOff>
    </xdr:from>
    <xdr:to>
      <xdr:col>32</xdr:col>
      <xdr:colOff>76200</xdr:colOff>
      <xdr:row>24</xdr:row>
      <xdr:rowOff>123825</xdr:rowOff>
    </xdr:to>
    <xdr:graphicFrame macro="">
      <xdr:nvGraphicFramePr>
        <xdr:cNvPr id="11" name="KPI_Performance">
          <a:extLst>
            <a:ext uri="{FF2B5EF4-FFF2-40B4-BE49-F238E27FC236}">
              <a16:creationId xmlns:a16="http://schemas.microsoft.com/office/drawing/2014/main" id="{E5675D9A-C1F0-4FF5-BEEB-7F66B134361A}"/>
            </a:ext>
            <a:ext uri="{147F2762-F138-4A5C-976F-8EAC2B608ADB}">
              <a16:predDERef xmlns:a16="http://schemas.microsoft.com/office/drawing/2014/main" pred="{C810E04E-68FF-477A-84B4-41F3D403CC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371475</xdr:colOff>
      <xdr:row>41</xdr:row>
      <xdr:rowOff>152400</xdr:rowOff>
    </xdr:from>
    <xdr:to>
      <xdr:col>21</xdr:col>
      <xdr:colOff>161925</xdr:colOff>
      <xdr:row>66</xdr:row>
      <xdr:rowOff>57150</xdr:rowOff>
    </xdr:to>
    <xdr:graphicFrame macro="">
      <xdr:nvGraphicFramePr>
        <xdr:cNvPr id="12" name="KPI_SalaryMix">
          <a:extLst>
            <a:ext uri="{FF2B5EF4-FFF2-40B4-BE49-F238E27FC236}">
              <a16:creationId xmlns:a16="http://schemas.microsoft.com/office/drawing/2014/main" id="{8BF4F042-9DFC-411E-87B7-F6E0954299A2}"/>
            </a:ext>
            <a:ext uri="{147F2762-F138-4A5C-976F-8EAC2B608ADB}">
              <a16:predDERef xmlns:a16="http://schemas.microsoft.com/office/drawing/2014/main" pred="{E5675D9A-C1F0-4FF5-BEEB-7F66B13436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209550</xdr:colOff>
      <xdr:row>41</xdr:row>
      <xdr:rowOff>76200</xdr:rowOff>
    </xdr:from>
    <xdr:to>
      <xdr:col>12</xdr:col>
      <xdr:colOff>123825</xdr:colOff>
      <xdr:row>66</xdr:row>
      <xdr:rowOff>47625</xdr:rowOff>
    </xdr:to>
    <xdr:graphicFrame macro="">
      <xdr:nvGraphicFramePr>
        <xdr:cNvPr id="13" name="KPI_EmploymentStatus">
          <a:extLst>
            <a:ext uri="{FF2B5EF4-FFF2-40B4-BE49-F238E27FC236}">
              <a16:creationId xmlns:a16="http://schemas.microsoft.com/office/drawing/2014/main" id="{D59EF5FF-BC4B-45DE-92BA-F04633ED5799}"/>
            </a:ext>
            <a:ext uri="{147F2762-F138-4A5C-976F-8EAC2B608ADB}">
              <a16:predDERef xmlns:a16="http://schemas.microsoft.com/office/drawing/2014/main" pred="{8BF4F042-9DFC-411E-87B7-F6E0954299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447675</xdr:colOff>
      <xdr:row>41</xdr:row>
      <xdr:rowOff>142875</xdr:rowOff>
    </xdr:from>
    <xdr:to>
      <xdr:col>31</xdr:col>
      <xdr:colOff>590550</xdr:colOff>
      <xdr:row>66</xdr:row>
      <xdr:rowOff>85725</xdr:rowOff>
    </xdr:to>
    <xdr:graphicFrame macro="">
      <xdr:nvGraphicFramePr>
        <xdr:cNvPr id="14" name="KPI_Increment">
          <a:extLst>
            <a:ext uri="{FF2B5EF4-FFF2-40B4-BE49-F238E27FC236}">
              <a16:creationId xmlns:a16="http://schemas.microsoft.com/office/drawing/2014/main" id="{B3E91191-E1E9-4CC1-AD24-BF2BD972C0CC}"/>
            </a:ext>
            <a:ext uri="{147F2762-F138-4A5C-976F-8EAC2B608ADB}">
              <a16:predDERef xmlns:a16="http://schemas.microsoft.com/office/drawing/2014/main" pred="{D59EF5FF-BC4B-45DE-92BA-F04633ED57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542925</xdr:colOff>
      <xdr:row>0</xdr:row>
      <xdr:rowOff>57150</xdr:rowOff>
    </xdr:from>
    <xdr:to>
      <xdr:col>24</xdr:col>
      <xdr:colOff>561975</xdr:colOff>
      <xdr:row>2</xdr:row>
      <xdr:rowOff>123825</xdr:rowOff>
    </xdr:to>
    <xdr:sp macro="" textlink="">
      <xdr:nvSpPr>
        <xdr:cNvPr id="15" name="TextBox 14">
          <a:extLst>
            <a:ext uri="{FF2B5EF4-FFF2-40B4-BE49-F238E27FC236}">
              <a16:creationId xmlns:a16="http://schemas.microsoft.com/office/drawing/2014/main" id="{C2818F28-4A72-D48C-6A89-3ACAA10003E1}"/>
            </a:ext>
            <a:ext uri="{147F2762-F138-4A5C-976F-8EAC2B608ADB}">
              <a16:predDERef xmlns:a16="http://schemas.microsoft.com/office/drawing/2014/main" pred="{B3E91191-E1E9-4CC1-AD24-BF2BD972C0CC}"/>
            </a:ext>
          </a:extLst>
        </xdr:cNvPr>
        <xdr:cNvSpPr txBox="1"/>
      </xdr:nvSpPr>
      <xdr:spPr>
        <a:xfrm>
          <a:off x="6638925" y="57150"/>
          <a:ext cx="8553450" cy="552450"/>
        </a:xfrm>
        <a:prstGeom prst="rect">
          <a:avLst/>
        </a:prstGeom>
        <a:ln/>
      </xdr:spPr>
      <xdr:style>
        <a:lnRef idx="0">
          <a:schemeClr val="accent3"/>
        </a:lnRef>
        <a:fillRef idx="3">
          <a:schemeClr val="accent3"/>
        </a:fillRef>
        <a:effectRef idx="3">
          <a:schemeClr val="accent3"/>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"Employe Performance Dashboard"</a:t>
          </a:r>
        </a:p>
      </xdr:txBody>
    </xdr:sp>
    <xdr:clientData/>
  </xdr:twoCellAnchor>
  <xdr:twoCellAnchor>
    <xdr:from>
      <xdr:col>10</xdr:col>
      <xdr:colOff>142875</xdr:colOff>
      <xdr:row>0</xdr:row>
      <xdr:rowOff>38100</xdr:rowOff>
    </xdr:from>
    <xdr:to>
      <xdr:col>25</xdr:col>
      <xdr:colOff>200025</xdr:colOff>
      <xdr:row>3</xdr:row>
      <xdr:rowOff>104775</xdr:rowOff>
    </xdr:to>
    <xdr:sp macro="" textlink="">
      <xdr:nvSpPr>
        <xdr:cNvPr id="16" name="TextBox 15">
          <a:extLst>
            <a:ext uri="{FF2B5EF4-FFF2-40B4-BE49-F238E27FC236}">
              <a16:creationId xmlns:a16="http://schemas.microsoft.com/office/drawing/2014/main" id="{5338B265-DA9B-A772-5BDB-7E6E1CFA85DE}"/>
            </a:ext>
            <a:ext uri="{147F2762-F138-4A5C-976F-8EAC2B608ADB}">
              <a16:predDERef xmlns:a16="http://schemas.microsoft.com/office/drawing/2014/main" pred="{C2818F28-4A72-D48C-6A89-3ACAA10003E1}"/>
            </a:ext>
          </a:extLst>
        </xdr:cNvPr>
        <xdr:cNvSpPr txBox="1"/>
      </xdr:nvSpPr>
      <xdr:spPr>
        <a:xfrm>
          <a:off x="6238875" y="38100"/>
          <a:ext cx="9201150" cy="847725"/>
        </a:xfrm>
        <a:prstGeom prst="rect">
          <a:avLst/>
        </a:prstGeom>
        <a:ln/>
      </xdr:spPr>
      <xdr:style>
        <a:lnRef idx="0">
          <a:schemeClr val="accent3"/>
        </a:lnRef>
        <a:fillRef idx="3">
          <a:schemeClr val="accent3"/>
        </a:fillRef>
        <a:effectRef idx="3">
          <a:schemeClr val="accent3"/>
        </a:effectRef>
        <a:fontRef idx="minor">
          <a:schemeClr val="lt1"/>
        </a:fontRef>
      </xdr:style>
      <xdr:txBody>
        <a:bodyPr spcFirstLastPara="0" vertOverflow="clip" horzOverflow="clip" wrap="square" lIns="91440" tIns="45720" rIns="91440" bIns="45720" rtlCol="0" anchor="t">
          <a:noAutofit/>
        </a:bodyPr>
        <a:lstStyle/>
        <a:p>
          <a:pPr marL="0" indent="0" algn="ctr"/>
          <a:r>
            <a:rPr lang="en-US" b="0" i="0">
              <a:solidFill>
                <a:schemeClr val="lt1"/>
              </a:solidFill>
              <a:latin typeface="Cambria" panose="02040503050406030204" pitchFamily="18" charset="0"/>
              <a:ea typeface="Cambria" panose="02040503050406030204" pitchFamily="18" charset="0"/>
            </a:rPr>
            <a:t>"Emplyome Performance Dashboard"</a:t>
          </a:r>
        </a:p>
      </xdr:txBody>
    </xdr:sp>
    <xdr:clientData/>
  </xdr:twoCellAnchor>
  <xdr:twoCellAnchor>
    <xdr:from>
      <xdr:col>9</xdr:col>
      <xdr:colOff>85725</xdr:colOff>
      <xdr:row>0</xdr:row>
      <xdr:rowOff>0</xdr:rowOff>
    </xdr:from>
    <xdr:to>
      <xdr:col>26</xdr:col>
      <xdr:colOff>514350</xdr:colOff>
      <xdr:row>3</xdr:row>
      <xdr:rowOff>142875</xdr:rowOff>
    </xdr:to>
    <xdr:sp macro="" textlink="">
      <xdr:nvSpPr>
        <xdr:cNvPr id="17" name="TextBox 16">
          <a:extLst>
            <a:ext uri="{FF2B5EF4-FFF2-40B4-BE49-F238E27FC236}">
              <a16:creationId xmlns:a16="http://schemas.microsoft.com/office/drawing/2014/main" id="{9A5E6C21-AEC6-E3CF-9393-781084C09296}"/>
            </a:ext>
            <a:ext uri="{147F2762-F138-4A5C-976F-8EAC2B608ADB}">
              <a16:predDERef xmlns:a16="http://schemas.microsoft.com/office/drawing/2014/main" pred="{5338B265-DA9B-A772-5BDB-7E6E1CFA85DE}"/>
            </a:ext>
          </a:extLst>
        </xdr:cNvPr>
        <xdr:cNvSpPr txBox="1"/>
      </xdr:nvSpPr>
      <xdr:spPr>
        <a:xfrm>
          <a:off x="5572125" y="0"/>
          <a:ext cx="10791825" cy="923925"/>
        </a:xfrm>
        <a:prstGeom prst="rect">
          <a:avLst/>
        </a:prstGeom>
        <a:ln/>
      </xdr:spPr>
      <xdr:style>
        <a:lnRef idx="3">
          <a:schemeClr val="lt1"/>
        </a:lnRef>
        <a:fillRef idx="1">
          <a:schemeClr val="accent3"/>
        </a:fillRef>
        <a:effectRef idx="1">
          <a:schemeClr val="accent3"/>
        </a:effectRef>
        <a:fontRef idx="minor">
          <a:schemeClr val="lt1"/>
        </a:fontRef>
      </xdr:style>
      <xdr:txBody>
        <a:bodyPr spcFirstLastPara="0" vertOverflow="clip" horzOverflow="clip" wrap="square" lIns="91440" tIns="45720" rIns="91440" bIns="45720" rtlCol="0" anchor="t">
          <a:noAutofit/>
        </a:bodyPr>
        <a:lstStyle/>
        <a:p>
          <a:pPr marL="0" indent="0" algn="ctr"/>
          <a:r>
            <a:rPr lang="en-US" sz="3600" b="1" u="sng" strike="noStrike">
              <a:solidFill>
                <a:schemeClr val="lt1"/>
              </a:solidFill>
              <a:latin typeface="Cambria" panose="02040503050406030204" pitchFamily="18" charset="0"/>
              <a:ea typeface="Cambria" panose="02040503050406030204" pitchFamily="18" charset="0"/>
            </a:rPr>
            <a:t>"Employme Performance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923925</xdr:colOff>
      <xdr:row>100</xdr:row>
      <xdr:rowOff>28575</xdr:rowOff>
    </xdr:from>
    <xdr:to>
      <xdr:col>14</xdr:col>
      <xdr:colOff>876300</xdr:colOff>
      <xdr:row>128</xdr:row>
      <xdr:rowOff>114300</xdr:rowOff>
    </xdr:to>
    <xdr:graphicFrame macro="">
      <xdr:nvGraphicFramePr>
        <xdr:cNvPr id="4" name="KPI_Headcount">
          <a:extLst>
            <a:ext uri="{FF2B5EF4-FFF2-40B4-BE49-F238E27FC236}">
              <a16:creationId xmlns:a16="http://schemas.microsoft.com/office/drawing/2014/main" id="{63D056D1-F24D-7CFD-5EC5-C6FF8486DD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1019175</xdr:colOff>
      <xdr:row>109</xdr:row>
      <xdr:rowOff>152400</xdr:rowOff>
    </xdr:from>
    <xdr:to>
      <xdr:col>22</xdr:col>
      <xdr:colOff>428625</xdr:colOff>
      <xdr:row>136</xdr:row>
      <xdr:rowOff>76200</xdr:rowOff>
    </xdr:to>
    <xdr:graphicFrame macro="">
      <xdr:nvGraphicFramePr>
        <xdr:cNvPr id="5" name="KPI_EmploymentStatus">
          <a:extLst>
            <a:ext uri="{FF2B5EF4-FFF2-40B4-BE49-F238E27FC236}">
              <a16:creationId xmlns:a16="http://schemas.microsoft.com/office/drawing/2014/main" id="{47DB8404-C315-E843-70CC-77F4A950AF7A}"/>
            </a:ext>
            <a:ext uri="{147F2762-F138-4A5C-976F-8EAC2B608ADB}">
              <a16:predDERef xmlns:a16="http://schemas.microsoft.com/office/drawing/2014/main" pred="{63D056D1-F24D-7CFD-5EC5-C6FF8486DD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50</xdr:col>
      <xdr:colOff>66675</xdr:colOff>
      <xdr:row>66</xdr:row>
      <xdr:rowOff>47625</xdr:rowOff>
    </xdr:from>
    <xdr:to>
      <xdr:col>70</xdr:col>
      <xdr:colOff>57150</xdr:colOff>
      <xdr:row>92</xdr:row>
      <xdr:rowOff>161925</xdr:rowOff>
    </xdr:to>
    <xdr:graphicFrame macro="">
      <xdr:nvGraphicFramePr>
        <xdr:cNvPr id="6" name="KPI_Performance">
          <a:extLst>
            <a:ext uri="{FF2B5EF4-FFF2-40B4-BE49-F238E27FC236}">
              <a16:creationId xmlns:a16="http://schemas.microsoft.com/office/drawing/2014/main" id="{344BB0E2-DF8D-0D78-379C-8C4266C86110}"/>
            </a:ext>
            <a:ext uri="{147F2762-F138-4A5C-976F-8EAC2B608ADB}">
              <a16:predDERef xmlns:a16="http://schemas.microsoft.com/office/drawing/2014/main" pred="{47DB8404-C315-E843-70CC-77F4A950AF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1162050</xdr:colOff>
      <xdr:row>101</xdr:row>
      <xdr:rowOff>180975</xdr:rowOff>
    </xdr:from>
    <xdr:to>
      <xdr:col>43</xdr:col>
      <xdr:colOff>609600</xdr:colOff>
      <xdr:row>128</xdr:row>
      <xdr:rowOff>57150</xdr:rowOff>
    </xdr:to>
    <xdr:graphicFrame macro="">
      <xdr:nvGraphicFramePr>
        <xdr:cNvPr id="7" name="KPI_SalaryMix">
          <a:extLst>
            <a:ext uri="{FF2B5EF4-FFF2-40B4-BE49-F238E27FC236}">
              <a16:creationId xmlns:a16="http://schemas.microsoft.com/office/drawing/2014/main" id="{7F8A867A-B356-4CC0-DA0C-AF500E403914}"/>
            </a:ext>
            <a:ext uri="{147F2762-F138-4A5C-976F-8EAC2B608ADB}">
              <a16:predDERef xmlns:a16="http://schemas.microsoft.com/office/drawing/2014/main" pred="{344BB0E2-DF8D-0D78-379C-8C4266C861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762000</xdr:colOff>
      <xdr:row>124</xdr:row>
      <xdr:rowOff>38100</xdr:rowOff>
    </xdr:from>
    <xdr:to>
      <xdr:col>31</xdr:col>
      <xdr:colOff>85725</xdr:colOff>
      <xdr:row>154</xdr:row>
      <xdr:rowOff>133350</xdr:rowOff>
    </xdr:to>
    <xdr:graphicFrame macro="">
      <xdr:nvGraphicFramePr>
        <xdr:cNvPr id="8" name="KPI_Increment">
          <a:extLst>
            <a:ext uri="{FF2B5EF4-FFF2-40B4-BE49-F238E27FC236}">
              <a16:creationId xmlns:a16="http://schemas.microsoft.com/office/drawing/2014/main" id="{AD869003-D040-42AE-BFC9-9A856CE33E58}"/>
            </a:ext>
            <a:ext uri="{147F2762-F138-4A5C-976F-8EAC2B608ADB}">
              <a16:predDERef xmlns:a16="http://schemas.microsoft.com/office/drawing/2014/main" pred="{7F8A867A-B356-4CC0-DA0C-AF500E4039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0</xdr:colOff>
      <xdr:row>38</xdr:row>
      <xdr:rowOff>0</xdr:rowOff>
    </xdr:from>
    <xdr:to>
      <xdr:col>38</xdr:col>
      <xdr:colOff>0</xdr:colOff>
      <xdr:row>52</xdr:row>
      <xdr:rowOff>0</xdr:rowOff>
    </xdr:to>
    <xdr:graphicFrame macro="">
      <xdr:nvGraphicFramePr>
        <xdr:cNvPr id="9" name="ExpChart2">
          <a:extLst>
            <a:ext uri="{FF2B5EF4-FFF2-40B4-BE49-F238E27FC236}">
              <a16:creationId xmlns:a16="http://schemas.microsoft.com/office/drawing/2014/main" id="{D7B6A913-67AF-505E-25E7-7869FC2EE7BF}"/>
            </a:ext>
            <a:ext uri="{147F2762-F138-4A5C-976F-8EAC2B608ADB}">
              <a16:predDERef xmlns:a16="http://schemas.microsoft.com/office/drawing/2014/main" pred="{AD869003-D040-42AE-BFC9-9A856CE33E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38</xdr:col>
      <xdr:colOff>0</xdr:colOff>
      <xdr:row>38</xdr:row>
      <xdr:rowOff>0</xdr:rowOff>
    </xdr:from>
    <xdr:to>
      <xdr:col>44</xdr:col>
      <xdr:colOff>0</xdr:colOff>
      <xdr:row>52</xdr:row>
      <xdr:rowOff>0</xdr:rowOff>
    </xdr:to>
    <xdr:graphicFrame macro="">
      <xdr:nvGraphicFramePr>
        <xdr:cNvPr id="10" name="PerformerChart2">
          <a:extLst>
            <a:ext uri="{FF2B5EF4-FFF2-40B4-BE49-F238E27FC236}">
              <a16:creationId xmlns:a16="http://schemas.microsoft.com/office/drawing/2014/main" id="{E00A3F23-CC70-4D4F-55EF-B44AD7CBB474}"/>
            </a:ext>
            <a:ext uri="{147F2762-F138-4A5C-976F-8EAC2B608ADB}">
              <a16:predDERef xmlns:a16="http://schemas.microsoft.com/office/drawing/2014/main" pred="{D7B6A913-67AF-505E-25E7-7869FC2EE7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44</xdr:col>
      <xdr:colOff>0</xdr:colOff>
      <xdr:row>38</xdr:row>
      <xdr:rowOff>0</xdr:rowOff>
    </xdr:from>
    <xdr:to>
      <xdr:col>50</xdr:col>
      <xdr:colOff>0</xdr:colOff>
      <xdr:row>52</xdr:row>
      <xdr:rowOff>0</xdr:rowOff>
    </xdr:to>
    <xdr:graphicFrame macro="">
      <xdr:nvGraphicFramePr>
        <xdr:cNvPr id="11" name="LeaveChart2">
          <a:extLst>
            <a:ext uri="{FF2B5EF4-FFF2-40B4-BE49-F238E27FC236}">
              <a16:creationId xmlns:a16="http://schemas.microsoft.com/office/drawing/2014/main" id="{6D1F9E1B-C86C-495A-2DBF-586F89CE5FEB}"/>
            </a:ext>
            <a:ext uri="{147F2762-F138-4A5C-976F-8EAC2B608ADB}">
              <a16:predDERef xmlns:a16="http://schemas.microsoft.com/office/drawing/2014/main" pred="{E00A3F23-CC70-4D4F-55EF-B44AD7CBB4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50</xdr:col>
      <xdr:colOff>0</xdr:colOff>
      <xdr:row>38</xdr:row>
      <xdr:rowOff>0</xdr:rowOff>
    </xdr:from>
    <xdr:to>
      <xdr:col>56</xdr:col>
      <xdr:colOff>0</xdr:colOff>
      <xdr:row>52</xdr:row>
      <xdr:rowOff>0</xdr:rowOff>
    </xdr:to>
    <xdr:graphicFrame macro="">
      <xdr:nvGraphicFramePr>
        <xdr:cNvPr id="12" name="WorkModeChart2">
          <a:extLst>
            <a:ext uri="{FF2B5EF4-FFF2-40B4-BE49-F238E27FC236}">
              <a16:creationId xmlns:a16="http://schemas.microsoft.com/office/drawing/2014/main" id="{B08A9B90-0FE3-9F0C-72F7-7A42E7AE3669}"/>
            </a:ext>
            <a:ext uri="{147F2762-F138-4A5C-976F-8EAC2B608ADB}">
              <a16:predDERef xmlns:a16="http://schemas.microsoft.com/office/drawing/2014/main" pred="{6D1F9E1B-C86C-495A-2DBF-586F89CE5F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0</xdr:colOff>
      <xdr:row>63</xdr:row>
      <xdr:rowOff>0</xdr:rowOff>
    </xdr:from>
    <xdr:to>
      <xdr:col>23</xdr:col>
      <xdr:colOff>0</xdr:colOff>
      <xdr:row>77</xdr:row>
      <xdr:rowOff>0</xdr:rowOff>
    </xdr:to>
    <xdr:graphicFrame macro="">
      <xdr:nvGraphicFramePr>
        <xdr:cNvPr id="13" name="ExpChart2">
          <a:extLst>
            <a:ext uri="{FF2B5EF4-FFF2-40B4-BE49-F238E27FC236}">
              <a16:creationId xmlns:a16="http://schemas.microsoft.com/office/drawing/2014/main" id="{7723F331-E9A4-4D12-987D-04F6B991824B}"/>
            </a:ext>
            <a:ext uri="{147F2762-F138-4A5C-976F-8EAC2B608ADB}">
              <a16:predDERef xmlns:a16="http://schemas.microsoft.com/office/drawing/2014/main" pred="{B08A9B90-0FE3-9F0C-72F7-7A42E7AE36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23</xdr:col>
      <xdr:colOff>0</xdr:colOff>
      <xdr:row>63</xdr:row>
      <xdr:rowOff>0</xdr:rowOff>
    </xdr:from>
    <xdr:to>
      <xdr:col>29</xdr:col>
      <xdr:colOff>0</xdr:colOff>
      <xdr:row>77</xdr:row>
      <xdr:rowOff>0</xdr:rowOff>
    </xdr:to>
    <xdr:graphicFrame macro="">
      <xdr:nvGraphicFramePr>
        <xdr:cNvPr id="14" name="PerformerChart2">
          <a:extLst>
            <a:ext uri="{FF2B5EF4-FFF2-40B4-BE49-F238E27FC236}">
              <a16:creationId xmlns:a16="http://schemas.microsoft.com/office/drawing/2014/main" id="{82EABB97-C725-43C2-A1DE-F2780E224E5B}"/>
            </a:ext>
            <a:ext uri="{147F2762-F138-4A5C-976F-8EAC2B608ADB}">
              <a16:predDERef xmlns:a16="http://schemas.microsoft.com/office/drawing/2014/main" pred="{7723F331-E9A4-4D12-987D-04F6B9918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0</xdr:colOff>
      <xdr:row>63</xdr:row>
      <xdr:rowOff>0</xdr:rowOff>
    </xdr:from>
    <xdr:to>
      <xdr:col>35</xdr:col>
      <xdr:colOff>0</xdr:colOff>
      <xdr:row>77</xdr:row>
      <xdr:rowOff>0</xdr:rowOff>
    </xdr:to>
    <xdr:graphicFrame macro="">
      <xdr:nvGraphicFramePr>
        <xdr:cNvPr id="15" name="LeaveChart2">
          <a:extLst>
            <a:ext uri="{FF2B5EF4-FFF2-40B4-BE49-F238E27FC236}">
              <a16:creationId xmlns:a16="http://schemas.microsoft.com/office/drawing/2014/main" id="{1714F6EB-1F0F-4429-9590-15B22163E886}"/>
            </a:ext>
            <a:ext uri="{147F2762-F138-4A5C-976F-8EAC2B608ADB}">
              <a16:predDERef xmlns:a16="http://schemas.microsoft.com/office/drawing/2014/main" pred="{82EABB97-C725-43C2-A1DE-F2780E224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35</xdr:col>
      <xdr:colOff>0</xdr:colOff>
      <xdr:row>63</xdr:row>
      <xdr:rowOff>0</xdr:rowOff>
    </xdr:from>
    <xdr:to>
      <xdr:col>41</xdr:col>
      <xdr:colOff>0</xdr:colOff>
      <xdr:row>77</xdr:row>
      <xdr:rowOff>0</xdr:rowOff>
    </xdr:to>
    <xdr:graphicFrame macro="">
      <xdr:nvGraphicFramePr>
        <xdr:cNvPr id="16" name="WorkModeChart2">
          <a:extLst>
            <a:ext uri="{FF2B5EF4-FFF2-40B4-BE49-F238E27FC236}">
              <a16:creationId xmlns:a16="http://schemas.microsoft.com/office/drawing/2014/main" id="{10CE99BC-8F29-44A3-9447-A0560C4FC8FC}"/>
            </a:ext>
            <a:ext uri="{147F2762-F138-4A5C-976F-8EAC2B608ADB}">
              <a16:predDERef xmlns:a16="http://schemas.microsoft.com/office/drawing/2014/main" pred="{1714F6EB-1F0F-4429-9590-15B22163E8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richPivotRecords" Target="richPivot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Excel Services" refreshedDate="46228.810964236109" createdVersion="8" refreshedVersion="8" minRefreshableVersion="3" recordCount="20" xr:uid="{D39871FC-E878-4663-8797-641978E51746}">
  <cacheSource type="worksheet">
    <worksheetSource name="Table1346"/>
  </cacheSource>
  <cacheFields count="31">
    <cacheField name="Employee_ID" numFmtId="0">
      <sharedItems count="20">
        <s v="EMP001"/>
        <s v="EMP002"/>
        <s v="EMP003"/>
        <s v="EMP004"/>
        <s v="EMP005"/>
        <s v="EMP006"/>
        <s v="EMP007"/>
        <s v="EMP008"/>
        <s v="EMP009"/>
        <s v="EMP010"/>
        <s v="EMP011"/>
        <s v="EMP012"/>
        <s v="EMP013"/>
        <s v="EMP014"/>
        <s v="EMP015"/>
        <s v="EMP016"/>
        <s v="EMP017"/>
        <s v="EMP018"/>
        <s v="EMP019"/>
        <s v="EMP020"/>
      </sharedItems>
    </cacheField>
    <cacheField name="Employee_Name" numFmtId="0">
      <sharedItems/>
    </cacheField>
    <cacheField name="Gender" numFmtId="0">
      <sharedItems count="2">
        <s v="Male"/>
        <s v="Female"/>
      </sharedItems>
    </cacheField>
    <cacheField name="Age" numFmtId="0">
      <sharedItems containsSemiMixedTypes="0" containsString="0" containsNumber="1" containsInteger="1" minValue="21" maxValue="45"/>
    </cacheField>
    <cacheField name="Joining_Date" numFmtId="14">
      <sharedItems containsSemiMixedTypes="0" containsNonDate="0" containsDate="1" containsString="0" minDate="2021-03-18T00:00:00" maxDate="2026-05-15T00:00:00"/>
    </cacheField>
    <cacheField name="Managers_Names" numFmtId="0">
      <sharedItems/>
    </cacheField>
    <cacheField name="Performance_Rating" numFmtId="0">
      <sharedItems containsSemiMixedTypes="0" containsString="0" containsNumber="1" containsInteger="1" minValue="2" maxValue="10"/>
    </cacheField>
    <cacheField name="Leave_Taken" numFmtId="0">
      <sharedItems containsSemiMixedTypes="0" containsString="0" containsNumber="1" containsInteger="1" minValue="4" maxValue="8"/>
    </cacheField>
    <cacheField name="City" numFmtId="0">
      <sharedItems count="14">
        <s v="Punjab, India"/>
        <s v="Bihar"/>
        <s v="Gujarat"/>
        <s v="Chandigarh"/>
        <s v="Andhra Pradesh"/>
        <s v="Ludhiana"/>
        <s v="Ahmedabad"/>
        <s v="Kerala"/>
        <s v="Delhi"/>
        <s v="Kolkata"/>
        <s v="Ranchi"/>
        <s v="Amritsar"/>
        <s v="Chennai"/>
        <s v="Hyderabad"/>
      </sharedItems>
    </cacheField>
    <cacheField name="Employment_Status" numFmtId="0">
      <sharedItems count="1">
        <s v="Active"/>
      </sharedItems>
    </cacheField>
    <cacheField name="Marital_Status" numFmtId="0">
      <sharedItems/>
    </cacheField>
    <cacheField name="Work_mode" numFmtId="0">
      <sharedItems count="3">
        <s v="WFO"/>
        <s v="Hybrid"/>
        <s v="WFH"/>
      </sharedItems>
    </cacheField>
    <cacheField name="Education" numFmtId="0">
      <sharedItems count="3">
        <s v="Graduation"/>
        <s v="Master"/>
        <s v="MBA"/>
      </sharedItems>
    </cacheField>
    <cacheField name="Job_Location" numFmtId="0">
      <sharedItems count="3">
        <s v="Chandigarh"/>
        <s v="Noida"/>
        <s v="Banglore"/>
      </sharedItems>
    </cacheField>
    <cacheField name="Date_of_birth" numFmtId="14">
      <sharedItems containsSemiMixedTypes="0" containsNonDate="0" containsDate="1" containsString="0" minDate="2002-06-08T00:00:00" maxDate="2018-09-19T00:00:00"/>
    </cacheField>
    <cacheField name="BLood_Group" numFmtId="0">
      <sharedItems/>
    </cacheField>
    <cacheField name="Email_ID" numFmtId="0">
      <sharedItems/>
    </cacheField>
    <cacheField name="Phone_Number" numFmtId="0">
      <sharedItems containsSemiMixedTypes="0" containsString="0" containsNumber="1" containsInteger="1" minValue="8087812367" maxValue="9854362109"/>
    </cacheField>
    <cacheField name="University" numFmtId="0">
      <sharedItems/>
    </cacheField>
    <cacheField name="Employee_type" numFmtId="0">
      <sharedItems count="3">
        <s v="Permanent"/>
        <s v="Contract"/>
        <s v="Intern"/>
      </sharedItems>
    </cacheField>
    <cacheField name="Employee_category" numFmtId="0">
      <sharedItems count="2">
        <s v="Full-Time"/>
        <s v="Part-Time"/>
      </sharedItems>
    </cacheField>
    <cacheField name="Basis_salary" numFmtId="164">
      <sharedItems containsSemiMixedTypes="0" containsString="0" containsNumber="1" containsInteger="1" minValue="25000" maxValue="55000"/>
    </cacheField>
    <cacheField name="Transport_Allowance" numFmtId="164">
      <sharedItems containsSemiMixedTypes="0" containsString="0" containsNumber="1" containsInteger="1" minValue="2322" maxValue="5870"/>
    </cacheField>
    <cacheField name="Medical_Allowance" numFmtId="164">
      <sharedItems containsSemiMixedTypes="0" containsString="0" containsNumber="1" containsInteger="1" minValue="1479" maxValue="2490"/>
    </cacheField>
    <cacheField name="Bonus" numFmtId="164">
      <sharedItems containsSemiMixedTypes="0" containsString="0" containsNumber="1" containsInteger="1" minValue="1075" maxValue="2970"/>
    </cacheField>
    <cacheField name="HRA (House_Rent_Allowance)" numFmtId="164">
      <sharedItems containsSemiMixedTypes="0" containsString="0" containsNumber="1" containsInteger="1" minValue="9064" maxValue="15996"/>
    </cacheField>
    <cacheField name="Net_Salary" numFmtId="164">
      <sharedItems containsSemiMixedTypes="0" containsString="0" containsNumber="1" containsInteger="1" minValue="47314" maxValue="79667"/>
    </cacheField>
    <cacheField name="Annual_Salary" numFmtId="164">
      <sharedItems containsSemiMixedTypes="0" containsString="0" containsNumber="1" containsInteger="1" minValue="567768" maxValue="956004" count="20">
        <n v="567768"/>
        <n v="594540"/>
        <n v="713028"/>
        <n v="593400"/>
        <n v="845808"/>
        <n v="780228"/>
        <n v="575172"/>
        <n v="827112"/>
        <n v="581064"/>
        <n v="637704"/>
        <n v="956004"/>
        <n v="804264"/>
        <n v="664296"/>
        <n v="685800"/>
        <n v="723216"/>
        <n v="672180"/>
        <n v="671328"/>
        <n v="814320"/>
        <n v="637932"/>
        <n v="903072"/>
      </sharedItems>
    </cacheField>
    <cacheField name="Pomotion_Eligibilty" numFmtId="164">
      <sharedItems count="2">
        <s v="NO"/>
        <s v="YES"/>
      </sharedItems>
    </cacheField>
    <cacheField name="Experience" numFmtId="165">
      <sharedItems containsSemiMixedTypes="0" containsString="0" containsNumber="1" minValue="0.19722222222222222" maxValue="5.3527777777777779" count="19">
        <n v="4.2361111111111107"/>
        <n v="2.2611111111111111"/>
        <n v="1.7361111111111112"/>
        <n v="3.0444444444444443"/>
        <n v="1.4111111111111112"/>
        <n v="0.19722222222222222"/>
        <n v="5.1083333333333334"/>
        <n v="1.3722222222222222"/>
        <n v="4.2166666666666668"/>
        <n v="0.77222222222222225"/>
        <n v="4.6694444444444443"/>
        <n v="2.0083333333333333"/>
        <n v="4.916666666666667"/>
        <n v="0.66111111111111109"/>
        <n v="5.3527777777777779"/>
        <n v="1.5194444444444444"/>
        <n v="4.0250000000000004"/>
        <n v="0.61388888888888893"/>
        <n v="2.588888888888889"/>
      </sharedItems>
    </cacheField>
    <cacheField name="Salary_Increment" numFmtId="0">
      <sharedItems/>
    </cacheField>
  </cacheFields>
  <extLst>
    <ext xmlns:x14="http://schemas.microsoft.com/office/spreadsheetml/2009/9/main" uri="{725AE2AE-9491-48be-B2B4-4EB974FC3084}">
      <x14:pivotCacheDefinition pivotCacheId="1586945401"/>
    </ext>
    <ext xmlns:xxpvi="http://schemas.microsoft.com/office/spreadsheetml/2022/pivotVersionInfo" uri="{9F748A41-CAEA-4470-BF7A-CE61E8FFA7F9}">
      <xxpvi:cacheVersionInfo>
        <xxpvi:lastRefreshFeature>RichData</xxpvi:lastRefreshFeature>
      </xxpvi:cacheVersionInfo>
    </ext>
    <ext xmlns:xprd="http://schemas.microsoft.com/office/spreadsheetml/2022/pivotRichData" uri="{2C874A73-7782-4A18-856F-96AC7E287872}">
      <xprd:richInfo pivotCacheGuid="{D39871FC-E878-4663-8797-641978E51746}" pivotIgnoreInvalidCache="1" r:id="rId1"/>
    </ext>
  </extLst>
</pivotCacheDefinition>
</file>

<file path=xl/pivotCache/richPivot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Chiragsingh Khusar"/>
    <x v="0"/>
    <n v="39"/>
    <d v="2022-04-30T00:00:00"/>
    <s v="Vivek Oberio"/>
    <n v="5"/>
    <n v="5"/>
    <x v="0"/>
    <x v="0"/>
    <s v="Married"/>
    <x v="0"/>
    <x v="0"/>
    <x v="0"/>
    <d v="2007-07-07T00:00:00"/>
    <s v="A"/>
    <s v="chirag_singh2007@gmail.com"/>
    <n v="8976543210"/>
    <s v="Mumbai"/>
    <x v="0"/>
    <x v="0"/>
    <n v="28000"/>
    <n v="2835"/>
    <n v="2007"/>
    <n v="2185"/>
    <n v="12287"/>
    <n v="47314"/>
    <x v="0"/>
    <x v="0"/>
    <x v="0"/>
    <s v="ELIGIBLE"/>
  </r>
  <r>
    <x v="1"/>
    <s v="Aarav Sharma"/>
    <x v="0"/>
    <n v="34"/>
    <d v="2024-04-21T00:00:00"/>
    <s v="Nile Khanna"/>
    <n v="10"/>
    <n v="5"/>
    <x v="1"/>
    <x v="0"/>
    <s v="Married"/>
    <x v="1"/>
    <x v="1"/>
    <x v="1"/>
    <d v="2012-07-24T00:00:00"/>
    <s v="AB"/>
    <s v="aarav_sharma2012@gmail.com"/>
    <n v="9854362109"/>
    <s v="Delhi"/>
    <x v="1"/>
    <x v="1"/>
    <n v="33000"/>
    <n v="3133"/>
    <n v="1870"/>
    <n v="1802"/>
    <n v="9740"/>
    <n v="49545"/>
    <x v="1"/>
    <x v="1"/>
    <x v="1"/>
    <s v="NOT ELIGIBLE"/>
  </r>
  <r>
    <x v="2"/>
    <s v="Nimrat Khaira"/>
    <x v="1"/>
    <n v="27"/>
    <d v="2024-10-30T00:00:00"/>
    <s v="Nitin Lyer"/>
    <n v="5"/>
    <n v="8"/>
    <x v="0"/>
    <x v="0"/>
    <s v="Unmarried"/>
    <x v="2"/>
    <x v="2"/>
    <x v="2"/>
    <d v="2011-09-24T00:00:00"/>
    <s v="O"/>
    <s v="nimrat_khaira2011@gmial.com"/>
    <n v="9239456120"/>
    <s v="Gujrat"/>
    <x v="2"/>
    <x v="0"/>
    <n v="38000"/>
    <n v="4320"/>
    <n v="2147"/>
    <n v="2970"/>
    <n v="11982"/>
    <n v="59419"/>
    <x v="2"/>
    <x v="0"/>
    <x v="2"/>
    <s v="NOT ELIGIBLE"/>
  </r>
  <r>
    <x v="3"/>
    <s v="Rohan Patel"/>
    <x v="0"/>
    <n v="40"/>
    <d v="2023-07-09T00:00:00"/>
    <s v="Mukesh Gosh"/>
    <n v="3"/>
    <n v="5"/>
    <x v="2"/>
    <x v="0"/>
    <s v="Married"/>
    <x v="0"/>
    <x v="0"/>
    <x v="1"/>
    <d v="2004-09-08T00:00:00"/>
    <s v="B "/>
    <s v="rohan_patel2004@gmail.com"/>
    <n v="8142736904"/>
    <s v="Mumbai"/>
    <x v="0"/>
    <x v="1"/>
    <n v="30000"/>
    <n v="2656"/>
    <n v="1794"/>
    <n v="1509"/>
    <n v="13491"/>
    <n v="49450"/>
    <x v="3"/>
    <x v="0"/>
    <x v="3"/>
    <s v="ELIGIBLE"/>
  </r>
  <r>
    <x v="4"/>
    <s v="Sneha Kapoor"/>
    <x v="1"/>
    <n v="22"/>
    <d v="2025-02-27T00:00:00"/>
    <s v="Gurpreet Singh"/>
    <n v="7"/>
    <n v="7"/>
    <x v="3"/>
    <x v="0"/>
    <s v="Unmarried"/>
    <x v="1"/>
    <x v="1"/>
    <x v="0"/>
    <d v="2018-09-18T00:00:00"/>
    <s v="A"/>
    <s v="sneha_kapoor2018@gmail.com"/>
    <n v="8956633103"/>
    <s v="Delhi"/>
    <x v="1"/>
    <x v="0"/>
    <n v="52000"/>
    <n v="3674"/>
    <n v="1800"/>
    <n v="1075"/>
    <n v="11935"/>
    <n v="70484"/>
    <x v="4"/>
    <x v="1"/>
    <x v="4"/>
    <s v="NOT ELIGIBLE"/>
  </r>
  <r>
    <x v="5"/>
    <s v="Priya Verma"/>
    <x v="1"/>
    <n v="23"/>
    <d v="2026-05-14T00:00:00"/>
    <s v="Vivek Oberio"/>
    <n v="9"/>
    <n v="8"/>
    <x v="4"/>
    <x v="0"/>
    <s v="Married"/>
    <x v="2"/>
    <x v="2"/>
    <x v="2"/>
    <d v="2009-01-30T00:00:00"/>
    <s v="AB"/>
    <s v="priya_verma2009@gmail.com"/>
    <n v="9175514319"/>
    <s v="Gujrat"/>
    <x v="2"/>
    <x v="0"/>
    <n v="45000"/>
    <n v="5870"/>
    <n v="1875"/>
    <n v="1113"/>
    <n v="11161"/>
    <n v="65019"/>
    <x v="5"/>
    <x v="1"/>
    <x v="5"/>
    <s v="NOT ELIGIBLE"/>
  </r>
  <r>
    <x v="6"/>
    <s v="Neeru Bajwa"/>
    <x v="1"/>
    <n v="22"/>
    <d v="2021-06-16T00:00:00"/>
    <s v="Nile Khanna"/>
    <n v="8"/>
    <n v="7"/>
    <x v="5"/>
    <x v="0"/>
    <s v="Unmarried"/>
    <x v="1"/>
    <x v="2"/>
    <x v="0"/>
    <d v="2011-05-12T00:00:00"/>
    <s v="O"/>
    <s v="neeru_bajwa2011@gmail.com"/>
    <n v="9320792333"/>
    <s v="Mumbai"/>
    <x v="0"/>
    <x v="1"/>
    <n v="25000"/>
    <n v="4236"/>
    <n v="1479"/>
    <n v="1260"/>
    <n v="15956"/>
    <n v="47931"/>
    <x v="6"/>
    <x v="1"/>
    <x v="6"/>
    <s v="ELIGIBLE"/>
  </r>
  <r>
    <x v="7"/>
    <s v="Aditya Mehta"/>
    <x v="0"/>
    <n v="40"/>
    <d v="2025-03-11T00:00:00"/>
    <s v="Nitin Lyer"/>
    <n v="2"/>
    <n v="7"/>
    <x v="6"/>
    <x v="0"/>
    <s v="Unmarried"/>
    <x v="2"/>
    <x v="0"/>
    <x v="1"/>
    <d v="2012-09-28T00:00:00"/>
    <s v="B "/>
    <s v="aditya_mehta2012@gmail.com"/>
    <n v="8108881430"/>
    <s v="Delhi"/>
    <x v="1"/>
    <x v="0"/>
    <n v="48000"/>
    <n v="4857"/>
    <n v="2460"/>
    <n v="2814"/>
    <n v="10795"/>
    <n v="68926"/>
    <x v="7"/>
    <x v="0"/>
    <x v="7"/>
    <s v="NOT ELIGIBLE"/>
  </r>
  <r>
    <x v="8"/>
    <s v="Kavya Nair"/>
    <x v="1"/>
    <n v="27"/>
    <d v="2022-05-07T00:00:00"/>
    <s v="Mukesh Gosh"/>
    <n v="9"/>
    <n v="5"/>
    <x v="7"/>
    <x v="0"/>
    <s v="Married"/>
    <x v="0"/>
    <x v="1"/>
    <x v="2"/>
    <d v="2014-08-31T00:00:00"/>
    <s v="A"/>
    <s v="kavya_nair2014@gmail.com"/>
    <n v="9623120150"/>
    <s v="Gujrat"/>
    <x v="2"/>
    <x v="1"/>
    <n v="31000"/>
    <n v="4746"/>
    <n v="2490"/>
    <n v="1122"/>
    <n v="9064"/>
    <n v="48422"/>
    <x v="8"/>
    <x v="1"/>
    <x v="8"/>
    <s v="ELIGIBLE"/>
  </r>
  <r>
    <x v="9"/>
    <s v="Rahul Gupta"/>
    <x v="0"/>
    <n v="39"/>
    <d v="2025-10-17T00:00:00"/>
    <s v="Gurpreet Singh"/>
    <n v="10"/>
    <n v="8"/>
    <x v="8"/>
    <x v="0"/>
    <s v="Unmarried"/>
    <x v="1"/>
    <x v="2"/>
    <x v="1"/>
    <d v="2008-01-14T00:00:00"/>
    <s v="B "/>
    <s v="rahul_gupta2008@gmail.com"/>
    <n v="9832564390"/>
    <s v="Mumbai"/>
    <x v="0"/>
    <x v="0"/>
    <n v="29000"/>
    <n v="4525"/>
    <n v="2087"/>
    <n v="2358"/>
    <n v="15172"/>
    <n v="53142"/>
    <x v="9"/>
    <x v="1"/>
    <x v="9"/>
    <s v="NOT ELIGIBLE"/>
  </r>
  <r>
    <x v="10"/>
    <s v="Ananya Roy"/>
    <x v="1"/>
    <n v="45"/>
    <d v="2021-11-24T00:00:00"/>
    <s v="Vivek Oberio"/>
    <n v="3"/>
    <n v="8"/>
    <x v="9"/>
    <x v="0"/>
    <s v="Married"/>
    <x v="2"/>
    <x v="2"/>
    <x v="1"/>
    <d v="2009-10-19T00:00:00"/>
    <s v="A"/>
    <s v="ananya_roy2009@gmail.com"/>
    <n v="8765234120"/>
    <s v="Delhi"/>
    <x v="1"/>
    <x v="1"/>
    <n v="55000"/>
    <n v="5399"/>
    <n v="2006"/>
    <n v="1984"/>
    <n v="15278"/>
    <n v="79667"/>
    <x v="10"/>
    <x v="0"/>
    <x v="10"/>
    <s v="ELIGIBLE"/>
  </r>
  <r>
    <x v="11"/>
    <s v="Vikram Desai"/>
    <x v="0"/>
    <n v="31"/>
    <d v="2023-07-09T00:00:00"/>
    <s v="Nile Khanna"/>
    <n v="5"/>
    <n v="7"/>
    <x v="10"/>
    <x v="0"/>
    <s v="Married"/>
    <x v="0"/>
    <x v="0"/>
    <x v="2"/>
    <d v="2012-11-22T00:00:00"/>
    <s v="AB"/>
    <s v="vikram_desai2012@gmail.com"/>
    <n v="9808602317"/>
    <s v="Gujrat"/>
    <x v="2"/>
    <x v="0"/>
    <n v="42000"/>
    <n v="5836"/>
    <n v="2233"/>
    <n v="1115"/>
    <n v="15838"/>
    <n v="67022"/>
    <x v="11"/>
    <x v="0"/>
    <x v="3"/>
    <s v="ELIGIBLE"/>
  </r>
  <r>
    <x v="12"/>
    <s v="Himanshi Khurana"/>
    <x v="1"/>
    <n v="34"/>
    <d v="2024-07-22T00:00:00"/>
    <s v="Nitin Lyer"/>
    <n v="3"/>
    <n v="4"/>
    <x v="11"/>
    <x v="0"/>
    <s v="Unmarried"/>
    <x v="1"/>
    <x v="0"/>
    <x v="0"/>
    <d v="2016-02-20T00:00:00"/>
    <s v="O"/>
    <s v="himanshi_khurana2016@gmail.com"/>
    <n v="9010302040"/>
    <s v="Mumbai"/>
    <x v="0"/>
    <x v="1"/>
    <n v="37000"/>
    <n v="3391"/>
    <n v="2385"/>
    <n v="2371"/>
    <n v="10211"/>
    <n v="55358"/>
    <x v="12"/>
    <x v="0"/>
    <x v="11"/>
    <s v="NOT ELIGIBLE"/>
  </r>
  <r>
    <x v="13"/>
    <s v="Arjun Rao"/>
    <x v="0"/>
    <n v="21"/>
    <d v="2021-08-25T00:00:00"/>
    <s v="Mukesh Gosh"/>
    <n v="7"/>
    <n v="6"/>
    <x v="12"/>
    <x v="0"/>
    <s v="Married"/>
    <x v="2"/>
    <x v="1"/>
    <x v="2"/>
    <d v="2018-08-28T00:00:00"/>
    <s v="B "/>
    <s v="arjun_rao2018@gmail.com"/>
    <n v="9854320286"/>
    <s v="Delhi"/>
    <x v="1"/>
    <x v="0"/>
    <n v="40000"/>
    <n v="2322"/>
    <n v="2013"/>
    <n v="1548"/>
    <n v="11267"/>
    <n v="57150"/>
    <x v="13"/>
    <x v="1"/>
    <x v="12"/>
    <s v="ELIGIBLE"/>
  </r>
  <r>
    <x v="14"/>
    <s v="Meera Iyer"/>
    <x v="1"/>
    <n v="24"/>
    <d v="2025-11-27T00:00:00"/>
    <s v="Gurpreet Singh"/>
    <n v="5"/>
    <n v="6"/>
    <x v="13"/>
    <x v="0"/>
    <s v="Unmarried"/>
    <x v="0"/>
    <x v="2"/>
    <x v="2"/>
    <d v="2011-04-10T00:00:00"/>
    <s v="A"/>
    <s v="meera_iyer2011@gmail.com"/>
    <n v="9027202587"/>
    <s v="Gujrat"/>
    <x v="2"/>
    <x v="1"/>
    <n v="38000"/>
    <n v="4512"/>
    <n v="1660"/>
    <n v="2582"/>
    <n v="13514"/>
    <n v="60268"/>
    <x v="14"/>
    <x v="0"/>
    <x v="13"/>
    <s v="NOT ELIGIBLE"/>
  </r>
  <r>
    <x v="15"/>
    <s v="Neha Joshi"/>
    <x v="1"/>
    <n v="32"/>
    <d v="2021-03-18T00:00:00"/>
    <s v="Vivek Oberio"/>
    <n v="5"/>
    <n v="7"/>
    <x v="10"/>
    <x v="0"/>
    <s v="Married"/>
    <x v="1"/>
    <x v="2"/>
    <x v="1"/>
    <d v="2013-01-03T00:00:00"/>
    <s v="AB"/>
    <s v="neha_joshi2013@gmail.com"/>
    <n v="8785818089"/>
    <s v="Mumbai"/>
    <x v="0"/>
    <x v="0"/>
    <n v="34000"/>
    <n v="3878"/>
    <n v="1816"/>
    <n v="2189"/>
    <n v="14132"/>
    <n v="56015"/>
    <x v="15"/>
    <x v="0"/>
    <x v="14"/>
    <s v="ELIGIBLE"/>
  </r>
  <r>
    <x v="16"/>
    <s v="Prem Dhillon"/>
    <x v="0"/>
    <n v="26"/>
    <d v="2025-01-18T00:00:00"/>
    <s v="Nile Khanna"/>
    <n v="2"/>
    <n v="8"/>
    <x v="11"/>
    <x v="0"/>
    <s v="Married"/>
    <x v="1"/>
    <x v="0"/>
    <x v="0"/>
    <d v="2004-10-16T00:00:00"/>
    <s v="O"/>
    <s v="prem_dhillon2004@gmail.com"/>
    <n v="8087812367"/>
    <s v="Delhi"/>
    <x v="1"/>
    <x v="1"/>
    <n v="36000"/>
    <n v="5168"/>
    <n v="1925"/>
    <n v="1935"/>
    <n v="10916"/>
    <n v="55944"/>
    <x v="16"/>
    <x v="0"/>
    <x v="15"/>
    <s v="NOT ELIGIBLE"/>
  </r>
  <r>
    <x v="17"/>
    <s v="Preeti Zinta"/>
    <x v="1"/>
    <n v="30"/>
    <d v="2022-07-16T00:00:00"/>
    <s v="Nitin Lyer"/>
    <n v="4"/>
    <n v="5"/>
    <x v="12"/>
    <x v="0"/>
    <s v="Unmarried"/>
    <x v="2"/>
    <x v="1"/>
    <x v="2"/>
    <d v="2009-11-11T00:00:00"/>
    <s v="AB"/>
    <s v="preeti_zinta2009@gmail.com"/>
    <n v="8123456780"/>
    <s v="Gujrat"/>
    <x v="2"/>
    <x v="0"/>
    <n v="46000"/>
    <n v="4723"/>
    <n v="2454"/>
    <n v="2159"/>
    <n v="12524"/>
    <n v="67860"/>
    <x v="17"/>
    <x v="0"/>
    <x v="16"/>
    <s v="ELIGIBLE"/>
  </r>
  <r>
    <x v="18"/>
    <s v="Pooja Sharma"/>
    <x v="1"/>
    <n v="27"/>
    <d v="2025-12-14T00:00:00"/>
    <s v="Mukesh Gosh"/>
    <n v="2"/>
    <n v="6"/>
    <x v="13"/>
    <x v="0"/>
    <s v="Married"/>
    <x v="1"/>
    <x v="2"/>
    <x v="1"/>
    <d v="2011-04-10T00:00:00"/>
    <s v="A"/>
    <s v="pooja_sharma2011@gmail.com"/>
    <n v="9087654321"/>
    <s v="Mumbai"/>
    <x v="0"/>
    <x v="0"/>
    <n v="32000"/>
    <n v="2879"/>
    <n v="2169"/>
    <n v="1695"/>
    <n v="14418"/>
    <n v="53161"/>
    <x v="18"/>
    <x v="0"/>
    <x v="17"/>
    <s v="NOT ELIGIBLE"/>
  </r>
  <r>
    <x v="19"/>
    <s v="Karan Singh"/>
    <x v="0"/>
    <n v="35"/>
    <d v="2023-12-23T00:00:00"/>
    <s v="Gurpreet Singh"/>
    <n v="2"/>
    <n v="4"/>
    <x v="12"/>
    <x v="0"/>
    <s v="Unmarried"/>
    <x v="1"/>
    <x v="2"/>
    <x v="2"/>
    <d v="2002-06-08T00:00:00"/>
    <s v="AB"/>
    <s v="karan_singh2002@gmail.com"/>
    <n v="8292939495"/>
    <s v="Delhi"/>
    <x v="1"/>
    <x v="1"/>
    <n v="50000"/>
    <n v="4261"/>
    <n v="2048"/>
    <n v="2951"/>
    <n v="15996"/>
    <n v="75256"/>
    <x v="19"/>
    <x v="0"/>
    <x v="18"/>
    <s v="NOT ELIGIBL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4D7A44-B362-46C5-AE89-671D6530BDDF}" name="PivotTable3" cacheId="15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5:I26" firstHeaderRow="1" firstDataRow="1" firstDataCol="1"/>
  <pivotFields count="31">
    <pivotField axis="axisRow" compact="0" outline="0" showAll="0">
      <items count="21">
        <item x="0"/>
        <item x="1"/>
        <item x="2"/>
        <item x="3"/>
        <item x="4"/>
        <item x="5"/>
        <item x="6"/>
        <item x="7"/>
        <item x="8"/>
        <item x="9"/>
        <item x="10"/>
        <item x="11"/>
        <item x="12"/>
        <item x="13"/>
        <item x="14"/>
        <item x="15"/>
        <item x="16"/>
        <item x="17"/>
        <item x="18"/>
        <item x="19"/>
        <item t="default"/>
      </items>
    </pivotField>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items count="2">
        <item x="0"/>
        <item t="default"/>
      </items>
    </pivotField>
    <pivotField compact="0" outline="0" showAll="0"/>
    <pivotField compact="0" outline="0" showAll="0">
      <items count="4">
        <item x="1"/>
        <item x="2"/>
        <item x="0"/>
        <item t="default"/>
      </items>
    </pivotField>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outline="0" showAll="0">
      <items count="3">
        <item x="0"/>
        <item x="1"/>
        <item t="default"/>
      </items>
    </pivotField>
    <pivotField dataField="1" compact="0" numFmtId="165" outline="0" showAll="0"/>
    <pivotField compact="0" outline="0"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Experience" fld="29" baseField="0" baseItem="0" numFmtId="165"/>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CF4565-F0F2-44C7-9C5D-CE1EE218E170}" name="PivotTable2" cacheId="15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E4:F45" firstHeaderRow="1" firstDataRow="1" firstDataCol="2"/>
  <pivotFields count="31">
    <pivotField axis="axisRow" compact="0" outline="0" showAll="0">
      <items count="21">
        <item x="0"/>
        <item x="1"/>
        <item x="2"/>
        <item x="3"/>
        <item x="4"/>
        <item x="5"/>
        <item x="6"/>
        <item x="7"/>
        <item x="8"/>
        <item x="9"/>
        <item x="10"/>
        <item x="11"/>
        <item x="12"/>
        <item x="13"/>
        <item x="14"/>
        <item x="15"/>
        <item x="16"/>
        <item x="17"/>
        <item x="18"/>
        <item x="19"/>
        <item t="default"/>
      </items>
    </pivotField>
    <pivotField compact="0" outline="0" showAll="0"/>
    <pivotField axis="axisRow" compact="0" outline="0" showAll="0">
      <items count="3">
        <item x="1"/>
        <item x="0"/>
        <item t="default"/>
      </items>
    </pivotField>
    <pivotField compact="0" outline="0" showAll="0"/>
    <pivotField compact="0" numFmtId="14" outline="0" showAll="0"/>
    <pivotField compact="0" outline="0" showAll="0"/>
    <pivotField compact="0" outline="0" showAll="0"/>
    <pivotField compact="0" outline="0" showAll="0"/>
    <pivotField compact="0" outline="0" showAll="0"/>
    <pivotField compact="0" outline="0" showAll="0">
      <items count="2">
        <item x="0"/>
        <item t="default"/>
      </items>
    </pivotField>
    <pivotField compact="0" outline="0" showAll="0"/>
    <pivotField compact="0" outline="0" showAll="0">
      <items count="4">
        <item x="1"/>
        <item x="2"/>
        <item x="0"/>
        <item t="default"/>
      </items>
    </pivotField>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outline="0" showAll="0"/>
    <pivotField compact="0" numFmtId="165" outline="0" showAll="0"/>
    <pivotField compact="0" outline="0" showAll="0"/>
  </pivotFields>
  <rowFields count="2">
    <field x="0"/>
    <field x="2"/>
  </rowFields>
  <rowItems count="41">
    <i>
      <x/>
      <x v="1"/>
    </i>
    <i t="default">
      <x/>
    </i>
    <i>
      <x v="1"/>
      <x v="1"/>
    </i>
    <i t="default">
      <x v="1"/>
    </i>
    <i>
      <x v="2"/>
      <x/>
    </i>
    <i t="default">
      <x v="2"/>
    </i>
    <i>
      <x v="3"/>
      <x v="1"/>
    </i>
    <i t="default">
      <x v="3"/>
    </i>
    <i>
      <x v="4"/>
      <x/>
    </i>
    <i t="default">
      <x v="4"/>
    </i>
    <i>
      <x v="5"/>
      <x/>
    </i>
    <i t="default">
      <x v="5"/>
    </i>
    <i>
      <x v="6"/>
      <x/>
    </i>
    <i t="default">
      <x v="6"/>
    </i>
    <i>
      <x v="7"/>
      <x v="1"/>
    </i>
    <i t="default">
      <x v="7"/>
    </i>
    <i>
      <x v="8"/>
      <x/>
    </i>
    <i t="default">
      <x v="8"/>
    </i>
    <i>
      <x v="9"/>
      <x v="1"/>
    </i>
    <i t="default">
      <x v="9"/>
    </i>
    <i>
      <x v="10"/>
      <x/>
    </i>
    <i t="default">
      <x v="10"/>
    </i>
    <i>
      <x v="11"/>
      <x v="1"/>
    </i>
    <i t="default">
      <x v="11"/>
    </i>
    <i>
      <x v="12"/>
      <x/>
    </i>
    <i t="default">
      <x v="12"/>
    </i>
    <i>
      <x v="13"/>
      <x v="1"/>
    </i>
    <i t="default">
      <x v="13"/>
    </i>
    <i>
      <x v="14"/>
      <x/>
    </i>
    <i t="default">
      <x v="14"/>
    </i>
    <i>
      <x v="15"/>
      <x/>
    </i>
    <i t="default">
      <x v="15"/>
    </i>
    <i>
      <x v="16"/>
      <x v="1"/>
    </i>
    <i t="default">
      <x v="16"/>
    </i>
    <i>
      <x v="17"/>
      <x/>
    </i>
    <i t="default">
      <x v="17"/>
    </i>
    <i>
      <x v="18"/>
      <x/>
    </i>
    <i t="default">
      <x v="18"/>
    </i>
    <i>
      <x v="19"/>
      <x v="1"/>
    </i>
    <i t="default">
      <x v="19"/>
    </i>
    <i t="grand">
      <x/>
    </i>
  </rowItems>
  <colItems count="1">
    <i/>
  </colItem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032D52-39CA-4A6E-9107-8E769E968D03}" name="PivotTable1" cacheId="15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64" firstHeaderRow="1" firstDataRow="1" firstDataCol="3"/>
  <pivotFields count="31">
    <pivotField axis="axisRow" compact="0" outline="0" showAll="0">
      <items count="21">
        <item x="0"/>
        <item x="1"/>
        <item x="2"/>
        <item x="3"/>
        <item x="4"/>
        <item x="5"/>
        <item x="6"/>
        <item x="7"/>
        <item x="8"/>
        <item x="9"/>
        <item x="10"/>
        <item x="11"/>
        <item x="12"/>
        <item x="13"/>
        <item x="14"/>
        <item x="15"/>
        <item x="16"/>
        <item x="17"/>
        <item x="18"/>
        <item x="19"/>
        <item t="default"/>
      </items>
    </pivotField>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axis="axisRow" compact="0" outline="0" showAll="0">
      <items count="2">
        <item x="0"/>
        <item t="default"/>
      </items>
    </pivotField>
    <pivotField compact="0" outline="0" showAll="0"/>
    <pivotField axis="axisRow" compact="0" outline="0" showAll="0">
      <items count="4">
        <item x="1"/>
        <item x="2"/>
        <item x="0"/>
        <item t="default"/>
      </items>
    </pivotField>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outline="0" showAll="0"/>
    <pivotField compact="0" numFmtId="165" outline="0" showAll="0"/>
    <pivotField compact="0" outline="0" showAll="0"/>
  </pivotFields>
  <rowFields count="3">
    <field x="0"/>
    <field x="9"/>
    <field x="11"/>
  </rowFields>
  <rowItems count="61">
    <i>
      <x/>
      <x/>
      <x v="2"/>
    </i>
    <i t="default" r="1">
      <x/>
    </i>
    <i t="default">
      <x/>
    </i>
    <i>
      <x v="1"/>
      <x/>
      <x/>
    </i>
    <i t="default" r="1">
      <x/>
    </i>
    <i t="default">
      <x v="1"/>
    </i>
    <i>
      <x v="2"/>
      <x/>
      <x v="1"/>
    </i>
    <i t="default" r="1">
      <x/>
    </i>
    <i t="default">
      <x v="2"/>
    </i>
    <i>
      <x v="3"/>
      <x/>
      <x v="2"/>
    </i>
    <i t="default" r="1">
      <x/>
    </i>
    <i t="default">
      <x v="3"/>
    </i>
    <i>
      <x v="4"/>
      <x/>
      <x/>
    </i>
    <i t="default" r="1">
      <x/>
    </i>
    <i t="default">
      <x v="4"/>
    </i>
    <i>
      <x v="5"/>
      <x/>
      <x v="1"/>
    </i>
    <i t="default" r="1">
      <x/>
    </i>
    <i t="default">
      <x v="5"/>
    </i>
    <i>
      <x v="6"/>
      <x/>
      <x/>
    </i>
    <i t="default" r="1">
      <x/>
    </i>
    <i t="default">
      <x v="6"/>
    </i>
    <i>
      <x v="7"/>
      <x/>
      <x v="1"/>
    </i>
    <i t="default" r="1">
      <x/>
    </i>
    <i t="default">
      <x v="7"/>
    </i>
    <i>
      <x v="8"/>
      <x/>
      <x v="2"/>
    </i>
    <i t="default" r="1">
      <x/>
    </i>
    <i t="default">
      <x v="8"/>
    </i>
    <i>
      <x v="9"/>
      <x/>
      <x/>
    </i>
    <i t="default" r="1">
      <x/>
    </i>
    <i t="default">
      <x v="9"/>
    </i>
    <i>
      <x v="10"/>
      <x/>
      <x v="1"/>
    </i>
    <i t="default" r="1">
      <x/>
    </i>
    <i t="default">
      <x v="10"/>
    </i>
    <i>
      <x v="11"/>
      <x/>
      <x v="2"/>
    </i>
    <i t="default" r="1">
      <x/>
    </i>
    <i t="default">
      <x v="11"/>
    </i>
    <i>
      <x v="12"/>
      <x/>
      <x/>
    </i>
    <i t="default" r="1">
      <x/>
    </i>
    <i t="default">
      <x v="12"/>
    </i>
    <i>
      <x v="13"/>
      <x/>
      <x v="1"/>
    </i>
    <i t="default" r="1">
      <x/>
    </i>
    <i t="default">
      <x v="13"/>
    </i>
    <i>
      <x v="14"/>
      <x/>
      <x v="2"/>
    </i>
    <i t="default" r="1">
      <x/>
    </i>
    <i t="default">
      <x v="14"/>
    </i>
    <i>
      <x v="15"/>
      <x/>
      <x/>
    </i>
    <i t="default" r="1">
      <x/>
    </i>
    <i t="default">
      <x v="15"/>
    </i>
    <i>
      <x v="16"/>
      <x/>
      <x/>
    </i>
    <i t="default" r="1">
      <x/>
    </i>
    <i t="default">
      <x v="16"/>
    </i>
    <i>
      <x v="17"/>
      <x/>
      <x v="1"/>
    </i>
    <i t="default" r="1">
      <x/>
    </i>
    <i t="default">
      <x v="17"/>
    </i>
    <i>
      <x v="18"/>
      <x/>
      <x/>
    </i>
    <i t="default" r="1">
      <x/>
    </i>
    <i t="default">
      <x v="18"/>
    </i>
    <i>
      <x v="19"/>
      <x/>
      <x/>
    </i>
    <i t="default" r="1">
      <x/>
    </i>
    <i t="default">
      <x v="19"/>
    </i>
    <i t="grand">
      <x/>
    </i>
  </rowItems>
  <colItems count="1">
    <i/>
  </colItem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Bihar" TargetMode="External"/><Relationship Id="rId13" Type="http://schemas.openxmlformats.org/officeDocument/2006/relationships/hyperlink" Target="https://www.bing.com/th?id=OSK.a69658e13881fca3f34abeec4edff723&amp;qlt=95" TargetMode="External"/><Relationship Id="rId18" Type="http://schemas.openxmlformats.org/officeDocument/2006/relationships/hyperlink" Target="https://www.bing.com/images/search?form=xlimg&amp;q=Delhi" TargetMode="External"/><Relationship Id="rId26" Type="http://schemas.openxmlformats.org/officeDocument/2006/relationships/hyperlink" Target="https://www.bing.com/images/search?form=xlimg&amp;q=Chennai" TargetMode="External"/><Relationship Id="rId3" Type="http://schemas.openxmlformats.org/officeDocument/2006/relationships/hyperlink" Target="https://www.bing.com/th?id=OSK.629a521d69640eaae1e6a84a54340243&amp;qlt=95" TargetMode="External"/><Relationship Id="rId21" Type="http://schemas.openxmlformats.org/officeDocument/2006/relationships/hyperlink" Target="https://www.bing.com/th?id=OSK.148d0f5a18279e559a9fa9eca5e1a2b7&amp;qlt=95" TargetMode="External"/><Relationship Id="rId7" Type="http://schemas.openxmlformats.org/officeDocument/2006/relationships/hyperlink" Target="https://www.bing.com/th?id=OSK.a3b9dffd17f6e299a0cb825e95bb6e57&amp;qlt=95" TargetMode="External"/><Relationship Id="rId12" Type="http://schemas.openxmlformats.org/officeDocument/2006/relationships/hyperlink" Target="https://www.bing.com/images/search?form=xlimg&amp;q=Ahmedabad" TargetMode="External"/><Relationship Id="rId17" Type="http://schemas.openxmlformats.org/officeDocument/2006/relationships/hyperlink" Target="https://www.bing.com/th?id=OSK.5c95f0d79e07f6c7e3c33a894ab5a87b&amp;qlt=95" TargetMode="External"/><Relationship Id="rId25" Type="http://schemas.openxmlformats.org/officeDocument/2006/relationships/hyperlink" Target="https://www.bing.com/th?id=OSK.866d524a04d576ba593e6a4d5d2148ad&amp;qlt=95" TargetMode="External"/><Relationship Id="rId2" Type="http://schemas.openxmlformats.org/officeDocument/2006/relationships/hyperlink" Target="https://www.bing.com/images/search?form=xlimg&amp;q=Punjab,%20India" TargetMode="External"/><Relationship Id="rId16" Type="http://schemas.openxmlformats.org/officeDocument/2006/relationships/hyperlink" Target="https://www.bing.com/images/search?form=xlimg&amp;q=Kerala" TargetMode="External"/><Relationship Id="rId20" Type="http://schemas.openxmlformats.org/officeDocument/2006/relationships/hyperlink" Target="https://www.bing.com/images/search?form=xlimg&amp;q=Kolkata" TargetMode="External"/><Relationship Id="rId1" Type="http://schemas.openxmlformats.org/officeDocument/2006/relationships/hyperlink" Target="https://www.bing.com/th?id=OSK.a98e1918805cfaff8684b74e7cea923e&amp;qlt=95" TargetMode="External"/><Relationship Id="rId6" Type="http://schemas.openxmlformats.org/officeDocument/2006/relationships/hyperlink" Target="https://www.bing.com/images/search?form=xlimg&amp;q=Ludhiana" TargetMode="External"/><Relationship Id="rId11" Type="http://schemas.openxmlformats.org/officeDocument/2006/relationships/hyperlink" Target="https://www.bing.com/th?id=OSK.98d4a187b5fc532c1ec9e483c97ffd98&amp;qlt=95" TargetMode="External"/><Relationship Id="rId24" Type="http://schemas.openxmlformats.org/officeDocument/2006/relationships/hyperlink" Target="https://www.bing.com/images/search?form=xlimg&amp;q=Amritsar" TargetMode="External"/><Relationship Id="rId5" Type="http://schemas.openxmlformats.org/officeDocument/2006/relationships/hyperlink" Target="https://www.bing.com/th?id=OSK.b31920c689f171985421ef178e322f62&amp;qlt=95" TargetMode="External"/><Relationship Id="rId15" Type="http://schemas.openxmlformats.org/officeDocument/2006/relationships/hyperlink" Target="https://www.bing.com/th?id=OSK.e8cc2802f4392afcffe0231dbe417c52&amp;qlt=95" TargetMode="External"/><Relationship Id="rId23" Type="http://schemas.openxmlformats.org/officeDocument/2006/relationships/hyperlink" Target="https://www.bing.com/th?id=OSK.ab43a6eaa0b38d68045258fabbfe325a&amp;qlt=95" TargetMode="External"/><Relationship Id="rId28" Type="http://schemas.openxmlformats.org/officeDocument/2006/relationships/hyperlink" Target="https://www.bing.com/images/search?form=xlimg&amp;q=Hyderabad" TargetMode="External"/><Relationship Id="rId10" Type="http://schemas.openxmlformats.org/officeDocument/2006/relationships/hyperlink" Target="https://www.bing.com/images/search?form=xlimg&amp;q=Gujarat" TargetMode="External"/><Relationship Id="rId19" Type="http://schemas.openxmlformats.org/officeDocument/2006/relationships/hyperlink" Target="https://www.bing.com/th?id=OSK.43aaf683d513aa9ed27ac92098a8cf26&amp;qlt=95" TargetMode="External"/><Relationship Id="rId4" Type="http://schemas.openxmlformats.org/officeDocument/2006/relationships/hyperlink" Target="https://www.bing.com/images/search?form=xlimg&amp;q=Chandigarh" TargetMode="External"/><Relationship Id="rId9" Type="http://schemas.openxmlformats.org/officeDocument/2006/relationships/hyperlink" Target="https://www.bing.com/th?id=OSK.2fb294a1dc5ba3af56a975afb04d5b83&amp;qlt=95" TargetMode="External"/><Relationship Id="rId14" Type="http://schemas.openxmlformats.org/officeDocument/2006/relationships/hyperlink" Target="https://www.bing.com/images/search?form=xlimg&amp;q=Andhra%20Pradesh" TargetMode="External"/><Relationship Id="rId22" Type="http://schemas.openxmlformats.org/officeDocument/2006/relationships/hyperlink" Target="https://www.bing.com/images/search?form=xlimg&amp;q=Ranchi" TargetMode="External"/><Relationship Id="rId27" Type="http://schemas.openxmlformats.org/officeDocument/2006/relationships/hyperlink" Target="https://www.bing.com/th?id=OSK.6e2ebee21d6d92cb0813f24df2a204aa&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Srd>
</file>

<file path=xl/richData/rdarray.xml><?xml version="1.0" encoding="utf-8"?>
<arrayData xmlns="http://schemas.microsoft.com/office/spreadsheetml/2017/richdata2" count="18">
  <a r="2">
    <v t="r">6</v>
    <v t="r">7</v>
  </a>
  <a r="1">
    <v t="r">15</v>
  </a>
  <a r="1">
    <v t="r">23</v>
  </a>
  <a r="3">
    <v t="r">33</v>
    <v t="r">34</v>
    <v t="r">35</v>
  </a>
  <a r="2">
    <v t="r">45</v>
    <v t="r">46</v>
  </a>
  <a r="1">
    <v t="s">Indian Standard Time</v>
  </a>
  <a r="1">
    <v t="r">56</v>
  </a>
  <a r="2">
    <v t="r">67</v>
    <v t="r">68</v>
  </a>
  <a r="1">
    <v t="s">Telugu language</v>
  </a>
  <a r="2">
    <v t="r">79</v>
    <v t="r">80</v>
  </a>
  <a r="2">
    <v t="s">English language</v>
    <v t="s">Malayalam</v>
  </a>
  <a r="2">
    <v t="r">91</v>
    <v t="r">92</v>
  </a>
  <a r="1">
    <v t="r">101</v>
  </a>
  <a r="1">
    <v t="r">111</v>
  </a>
  <a r="1">
    <v t="r">121</v>
  </a>
  <a r="1">
    <v t="r">133</v>
  </a>
  <a r="1">
    <v t="r">146</v>
  </a>
  <a r="15">
    <v t="r">0</v>
    <v t="r">29</v>
    <v t="r">40</v>
    <v t="r">2</v>
    <v t="r">62</v>
    <v t="r">5</v>
    <v t="r">44</v>
    <v t="r">74</v>
    <v t="r">86</v>
    <v t="r">97</v>
    <v t="r">107</v>
    <v t="r">117</v>
    <v t="r">127</v>
    <v t="r">139</v>
    <v t="i">1</v>
  </a>
</arrayData>
</file>

<file path=xl/richData/rdrichvalue.xml><?xml version="1.0" encoding="utf-8"?>
<rvData xmlns="http://schemas.microsoft.com/office/spreadsheetml/2017/richdata" count="154">
  <rv s="0">
    <v>536870912</v>
    <v>Punjab, India</v>
    <v>d98d08e1-818e-a7ba-30a5-4637a11eec3e</v>
    <v>en-US</v>
    <v>Map</v>
  </rv>
  <rv s="1">
    <fb>50362</fb>
    <v>9</v>
  </rv>
  <rv s="0">
    <v>536870912</v>
    <v>Chandigarh</v>
    <v>10beaf9e-bdab-00b9-8037-79ffe16cf357</v>
    <v>en-US</v>
    <v>Map</v>
  </rv>
  <rv s="0">
    <v>536870912</v>
    <v>India</v>
    <v>85fa63d3-9596-adb9-b4eb-502273d84f56</v>
    <v>en-US</v>
    <v>Map</v>
  </rv>
  <rv s="2">
    <v>0</v>
    <v>7</v>
    <v>0</v>
    <v>7</v>
    <v>0</v>
    <v>Image of Punjab, India</v>
  </rv>
  <rv s="0">
    <v>536870912</v>
    <v>Ludhiana</v>
    <v>d6ef8469-9761-9669-10ab-2a89217a7391</v>
    <v>en-US</v>
    <v>Map</v>
  </rv>
  <rv s="0">
    <v>805306368</v>
    <v>Banwarilal Purohit (Governor)</v>
    <v>1b879f9b-ef10-515b-1e7a-ae45fdf8a96d</v>
    <v>en-US</v>
    <v>Generic</v>
  </rv>
  <rv s="0">
    <v>805306368</v>
    <v>Bhagwant Mann (Chief minister)</v>
    <v>29a832e6-e581-c5dd-b3c0-95a6421aa865</v>
    <v>en-US</v>
    <v>Generic</v>
  </rv>
  <rv s="3">
    <v>0</v>
  </rv>
  <rv s="4">
    <v>https://www.bing.com/search?q=punjab+india&amp;form=skydnc</v>
    <v>Learn more on Bing</v>
  </rv>
  <rv s="1">
    <fb>27743338</fb>
    <v>9</v>
  </rv>
  <rv s="5">
    <v>#VALUE!</v>
    <v>en-US</v>
    <v>d98d08e1-818e-a7ba-30a5-4637a11eec3e</v>
    <v>536870912</v>
    <v>1</v>
    <v>2</v>
    <v>3</v>
    <v>Punjab, India</v>
    <v>5</v>
    <v>6</v>
    <v>Map</v>
    <v>7</v>
    <v>8</v>
    <v>IN-PB</v>
    <v>1</v>
    <v>2</v>
    <v>3</v>
    <v>Punjab, known historically as Panchanada or Pentapotamía, is a state in northern India. Forming part of the larger Punjab region of the Indian subcontinent, the state is bordered by the Indian states of Himachal Pradesh to the north and ...</v>
    <v>4</v>
    <v>5</v>
    <v>8</v>
    <v>9</v>
    <v>Punjab, India</v>
    <v>10</v>
    <v>Punjab, India</v>
    <v>mdp/vdpid/26903</v>
  </rv>
  <rv s="1">
    <fb>114</fb>
    <v>9</v>
  </rv>
  <rv s="0">
    <v>536870912</v>
    <v>Chandigarh</v>
    <v>dd60d733-8017-b736-1466-9c2766cadf1b</v>
    <v>en-US</v>
    <v>Map</v>
  </rv>
  <rv s="2">
    <v>1</v>
    <v>7</v>
    <v>10</v>
    <v>7</v>
    <v>0</v>
    <v>Image of Chandigarh</v>
  </rv>
  <rv s="0">
    <v>805306368</v>
    <v>Rajbala (Mayor)</v>
    <v>f224bd00-4fb5-c413-b849-9efa537fbc7b</v>
    <v>en-US</v>
    <v>Generic</v>
  </rv>
  <rv s="3">
    <v>1</v>
  </rv>
  <rv s="4">
    <v>https://www.bing.com/search?q=chandigarh&amp;form=skydnc</v>
    <v>Learn more on Bing</v>
  </rv>
  <rv s="1">
    <fb>1055450</fb>
    <v>9</v>
  </rv>
  <rv s="6">
    <v>#VALUE!</v>
    <v>en-US</v>
    <v>10beaf9e-bdab-00b9-8037-79ffe16cf357</v>
    <v>536870912</v>
    <v>1</v>
    <v>12</v>
    <v>13</v>
    <v>Chandigarh</v>
    <v>5</v>
    <v>6</v>
    <v>Map</v>
    <v>7</v>
    <v>8</v>
    <v>IN-CH</v>
    <v>12</v>
    <v>13</v>
    <v>3</v>
    <v>Chandigarh is a union territory and planned city in northern India, serving as the shared capital of the surrounding states, namely Punjab to the north, west and the south, and Haryana to the east. Chandigarh constitutes the bulk of the ...</v>
    <v>14</v>
    <v>16</v>
    <v>17</v>
    <v>Chandigarh</v>
    <v>18</v>
    <v>Chandigarh</v>
    <v>mdp/vdpid/7407895773574070273</v>
  </rv>
  <rv s="1">
    <fb>310</fb>
    <v>9</v>
  </rv>
  <rv s="2">
    <v>2</v>
    <v>7</v>
    <v>14</v>
    <v>7</v>
    <v>0</v>
    <v>Image of Ludhiana</v>
  </rv>
  <rv s="1">
    <fb>30.908333333333001</fb>
    <v>17</v>
  </rv>
  <rv s="0">
    <v>805306368</v>
    <v>Balkar Sandhu (Mayor)</v>
    <v>3078a4ce-cde1-f2f9-2a27-ac4722ea3783</v>
    <v>en-US</v>
    <v>Generic</v>
  </rv>
  <rv s="3">
    <v>2</v>
  </rv>
  <rv s="4">
    <v>https://www.bing.com/search?q=ludhiana&amp;form=skydnc</v>
    <v>Learn more on Bing</v>
  </rv>
  <rv s="1">
    <fb>75.848611111110998</fb>
    <v>17</v>
  </rv>
  <rv s="1">
    <fb>1618879</fb>
    <v>9</v>
  </rv>
  <rv s="7">
    <v>#VALUE!</v>
    <v>en-US</v>
    <v>d6ef8469-9761-9669-10ab-2a89217a7391</v>
    <v>536870912</v>
    <v>1</v>
    <v>15</v>
    <v>16</v>
    <v>Ludhiana</v>
    <v>5</v>
    <v>6</v>
    <v>Map</v>
    <v>7</v>
    <v>8</v>
    <v>20</v>
    <v>3</v>
    <v>Ludhiana is the most populous and the largest city in the Indian state of Punjab. The city has an estimated population of 1,618,879 as of the 2011 census and distributed over 310 km², making Ludhiana the most densely populated urban centre in ...</v>
    <v>21</v>
    <v>22</v>
    <v>24</v>
    <v>25</v>
    <v>26</v>
    <v>Ludhiana</v>
    <v>27</v>
    <v>Ludhiana</v>
    <v>mdp/vdpid/7406731902867996673</v>
  </rv>
  <rv s="0">
    <v>536870912</v>
    <v>Bihar</v>
    <v>e402c108-ade8-40dd-b6d7-f36882e8e3e3</v>
    <v>en-US</v>
    <v>Map</v>
  </rv>
  <rv s="1">
    <fb>94163</fb>
    <v>9</v>
  </rv>
  <rv s="0">
    <v>536870912</v>
    <v>Patna</v>
    <v>5769f980-da6e-3599-1e5b-368f4b6f48ca</v>
    <v>en-US</v>
    <v>Map</v>
  </rv>
  <rv s="2">
    <v>3</v>
    <v>7</v>
    <v>18</v>
    <v>7</v>
    <v>0</v>
    <v>Image of Bihar</v>
  </rv>
  <rv s="0">
    <v>805306368</v>
    <v>Rajendra Arlekar (Governor)</v>
    <v>857b3d51-3e36-ebd8-cf42-f60258bfd1fa</v>
    <v>en-US</v>
    <v>Generic</v>
  </rv>
  <rv s="0">
    <v>805306368</v>
    <v>Nitish Kumar (Chief minister)</v>
    <v>cde7adde-5105-d979-2e6a-cbc9496d6cc9</v>
    <v>en-US</v>
    <v>Generic</v>
  </rv>
  <rv s="0">
    <v>805306368</v>
    <v>Tejashwi Yadav (Chief minister)</v>
    <v>c441214f-c9a7-4e3d-9512-b53b558b8140</v>
    <v>en-US</v>
    <v>Generic</v>
  </rv>
  <rv s="3">
    <v>3</v>
  </rv>
  <rv s="4">
    <v>https://www.bing.com/search?q=bihar&amp;form=skydnc</v>
    <v>Learn more on Bing</v>
  </rv>
  <rv s="1">
    <fb>104099452</fb>
    <v>9</v>
  </rv>
  <rv s="5">
    <v>#VALUE!</v>
    <v>en-US</v>
    <v>e402c108-ade8-40dd-b6d7-f36882e8e3e3</v>
    <v>536870912</v>
    <v>1</v>
    <v>20</v>
    <v>3</v>
    <v>Bihar</v>
    <v>5</v>
    <v>6</v>
    <v>Map</v>
    <v>7</v>
    <v>8</v>
    <v>IN-BR</v>
    <v>30</v>
    <v>31</v>
    <v>3</v>
    <v>Bihar is a state in eastern India. It is the third largest state by population, the 12th largest by area, and the 14th largest by GDP in 2021. Bihar borders Uttar Pradesh to its west, Nepal to the north, the northern part of West Bengal to the ...</v>
    <v>32</v>
    <v>31</v>
    <v>36</v>
    <v>37</v>
    <v>Bihar</v>
    <v>38</v>
    <v>Bihar</v>
    <v>mdp/vdpid/3922</v>
  </rv>
  <rv s="0">
    <v>536870912</v>
    <v>Gujarat</v>
    <v>c70b768e-21ab-4f53-a356-564e8da2291e</v>
    <v>en-US</v>
    <v>Map</v>
  </rv>
  <rv s="1">
    <fb>196024</fb>
    <v>9</v>
  </rv>
  <rv s="0">
    <v>536870912</v>
    <v>Gandhinagar</v>
    <v>d6f2dd75-5f12-0082-be93-de3fbb10d45c</v>
    <v>en-US</v>
    <v>Map</v>
  </rv>
  <rv s="2">
    <v>4</v>
    <v>7</v>
    <v>21</v>
    <v>7</v>
    <v>0</v>
    <v>Image of Gujarat</v>
  </rv>
  <rv s="0">
    <v>536870912</v>
    <v>Ahmedabad</v>
    <v>f741e2c0-a401-4bcb-2d92-c364fe683513</v>
    <v>en-US</v>
    <v>Map</v>
  </rv>
  <rv s="0">
    <v>805306368</v>
    <v>Acharya Devvrat (Governor)</v>
    <v>0068b763-d697-2270-4902-87b8ca6daf2d</v>
    <v>en-US</v>
    <v>Generic</v>
  </rv>
  <rv s="0">
    <v>805306368</v>
    <v>Bhupendrabhai Patel (Chief minister)</v>
    <v>f545cfa0-d217-e758-ac99-3863ee9f5530</v>
    <v>en-US</v>
    <v>Generic</v>
  </rv>
  <rv s="3">
    <v>4</v>
  </rv>
  <rv s="4">
    <v>https://www.bing.com/search?q=gujarat&amp;form=skydnc</v>
    <v>Learn more on Bing</v>
  </rv>
  <rv s="1">
    <fb>60383628</fb>
    <v>9</v>
  </rv>
  <rv s="3">
    <v>5</v>
  </rv>
  <rv s="8">
    <v>#VALUE!</v>
    <v>en-US</v>
    <v>c70b768e-21ab-4f53-a356-564e8da2291e</v>
    <v>536870912</v>
    <v>1</v>
    <v>23</v>
    <v>24</v>
    <v>Gujarat</v>
    <v>5</v>
    <v>6</v>
    <v>Map</v>
    <v>7</v>
    <v>8</v>
    <v>IN-GJ</v>
    <v>41</v>
    <v>42</v>
    <v>3</v>
    <v>Gujarat is a state along the western coast of India. Its coastline of about 1,600 km is the longest in the country, most of which lies on the Kathiawar peninsula. Gujarat is the fifth-largest Indian state by area, covering some 196,024 km² ; and ...</v>
    <v>43</v>
    <v>44</v>
    <v>47</v>
    <v>48</v>
    <v>Gujarat</v>
    <v>49</v>
    <v>50</v>
    <v>Gujarat</v>
    <v>mdp/vdpid/7903232</v>
  </rv>
  <rv s="1">
    <fb>464.16500000000002</fb>
    <v>9</v>
  </rv>
  <rv s="0">
    <v>536870912</v>
    <v>British Raj</v>
    <v>20193abe-79a7-473f-979c-a3cfdac8639a</v>
    <v>en-US</v>
    <v>Map</v>
  </rv>
  <rv s="2">
    <v>5</v>
    <v>7</v>
    <v>25</v>
    <v>7</v>
    <v>0</v>
    <v>Image of Ahmedabad</v>
  </rv>
  <rv s="1">
    <fb>23.021944444444401</fb>
    <v>17</v>
  </rv>
  <rv s="0">
    <v>805306368</v>
    <v>Pratibha Jain (Mayor)</v>
    <v>7cb51764-38d6-a29e-a43d-0df082af754a</v>
    <v>en-US</v>
    <v>Generic</v>
  </rv>
  <rv s="3">
    <v>6</v>
  </rv>
  <rv s="4">
    <v>https://www.bing.com/search?q=ahmedabad&amp;form=skydnc</v>
    <v>Learn more on Bing</v>
  </rv>
  <rv s="1">
    <fb>72.579722222222202</fb>
    <v>17</v>
  </rv>
  <rv s="1">
    <fb>7645000</fb>
    <v>9</v>
  </rv>
  <rv s="9">
    <v>#VALUE!</v>
    <v>en-US</v>
    <v>f741e2c0-a401-4bcb-2d92-c364fe683513</v>
    <v>536870912</v>
    <v>1</v>
    <v>26</v>
    <v>27</v>
    <v>Ahmedabad</v>
    <v>5</v>
    <v>6</v>
    <v>Map</v>
    <v>7</v>
    <v>28</v>
    <v>40</v>
    <v>52</v>
    <v>53</v>
    <v>Ahmedabad is the most populous city in the Indian state of Gujarat. It is the administrative headquarters of the Ahmedabad district and the seat of the Gujarat High Court. Ahmedabad's population of 5,570,585 makes it the fifth-most populous city ...</v>
    <v>54</v>
    <v>55</v>
    <v>57</v>
    <v>58</v>
    <v>59</v>
    <v>Ahmedabad</v>
    <v>60</v>
    <v>Ahmedabad</v>
    <v>mdp/vdpid/7410643148977733636</v>
  </rv>
  <rv s="0">
    <v>536870912</v>
    <v>Andhra Pradesh</v>
    <v>9e3a52bb-38ae-c817-5cd2-7a8dd2a4c0e5</v>
    <v>en-US</v>
    <v>Map</v>
  </rv>
  <rv s="1">
    <fb>162970</fb>
    <v>9</v>
  </rv>
  <rv s="0">
    <v>536870912</v>
    <v>Amaravati</v>
    <v>e088121a-798e-31c0-98d9-e1f90a9732b0</v>
    <v>en-US</v>
    <v>Map</v>
  </rv>
  <rv s="2">
    <v>6</v>
    <v>7</v>
    <v>29</v>
    <v>7</v>
    <v>0</v>
    <v>Image of Andhra Pradesh</v>
  </rv>
  <rv s="0">
    <v>536870912</v>
    <v>Visakhapatnam</v>
    <v>808f8186-c062-2861-8d58-f9f1ddda9d5f</v>
    <v>en-US</v>
    <v>Map</v>
  </rv>
  <rv s="0">
    <v>805306368</v>
    <v>Syed Abdul Nazeer (Governor)</v>
    <v>d5e737c0-33b0-bdbc-e9ff-ec3db381abc3</v>
    <v>en-US</v>
    <v>Generic</v>
  </rv>
  <rv s="0">
    <v>805306368</v>
    <v>Y. S. Jagan Mohan Reddy (Chief minister)</v>
    <v>21b95cec-1625-db12-99eb-0bf61b3f4d53</v>
    <v>en-US</v>
    <v>Generic</v>
  </rv>
  <rv s="3">
    <v>7</v>
  </rv>
  <rv s="4">
    <v>https://www.bing.com/search?q=andhra+pradesh&amp;form=skydnc</v>
    <v>Learn more on Bing</v>
  </rv>
  <rv s="3">
    <v>8</v>
  </rv>
  <rv s="1">
    <fb>49634314</fb>
    <v>9</v>
  </rv>
  <rv s="10">
    <v>#VALUE!</v>
    <v>en-US</v>
    <v>9e3a52bb-38ae-c817-5cd2-7a8dd2a4c0e5</v>
    <v>536870912</v>
    <v>1</v>
    <v>31</v>
    <v>32</v>
    <v>Andhra Pradesh</v>
    <v>5</v>
    <v>6</v>
    <v>Map</v>
    <v>7</v>
    <v>8</v>
    <v>IN-AP</v>
    <v>63</v>
    <v>64</v>
    <v>3</v>
    <v>Andhra Pradesh is a state in the southern coastal region of India. It is the seventh-largest state with an area of 162,970 km² and the tenth-most populous state with 49,577,103 inhabitants. It has shared borders with Chhattisgarh, Odisha, ...</v>
    <v>65</v>
    <v>66</v>
    <v>69</v>
    <v>70</v>
    <v>Andhra Pradesh</v>
    <v>71</v>
    <v>72</v>
    <v>Andhra Pradesh</v>
    <v>mdp/vdpid/1569</v>
  </rv>
  <rv s="0">
    <v>536870912</v>
    <v>Kerala</v>
    <v>9d932c0c-d3e6-abbd-5274-6b53036ca764</v>
    <v>en-US</v>
    <v>Map</v>
  </rv>
  <rv s="1">
    <fb>38863</fb>
    <v>9</v>
  </rv>
  <rv s="0">
    <v>536870912</v>
    <v>Thiruvananthapuram</v>
    <v>a7450b86-c3c4-43e6-8f9c-263b15956c09</v>
    <v>en-US</v>
    <v>Map</v>
  </rv>
  <rv s="2">
    <v>7</v>
    <v>7</v>
    <v>33</v>
    <v>7</v>
    <v>0</v>
    <v>Image of Kerala</v>
  </rv>
  <rv s="0">
    <v>536870912</v>
    <v>Kochi</v>
    <v>ce548a32-d28c-c3d5-f50a-f83894e62cdf</v>
    <v>en-US</v>
    <v>Map</v>
  </rv>
  <rv s="0">
    <v>805306368</v>
    <v>Arif Mohammad Khan (Governor)</v>
    <v>221ee855-8ddc-997a-515c-7ff1b9adbb95</v>
    <v>en-US</v>
    <v>Generic</v>
  </rv>
  <rv s="0">
    <v>805306368</v>
    <v>Pinarayi Vijayan (Chief minister)</v>
    <v>40202d15-b167-2aae-7945-3edd088cc479</v>
    <v>en-US</v>
    <v>Generic</v>
  </rv>
  <rv s="3">
    <v>9</v>
  </rv>
  <rv s="4">
    <v>https://www.bing.com/search?q=kerala&amp;form=skydnc</v>
    <v>Learn more on Bing</v>
  </rv>
  <rv s="3">
    <v>10</v>
  </rv>
  <rv s="1">
    <fb>34523726</fb>
    <v>9</v>
  </rv>
  <rv s="10">
    <v>#VALUE!</v>
    <v>en-US</v>
    <v>9d932c0c-d3e6-abbd-5274-6b53036ca764</v>
    <v>536870912</v>
    <v>1</v>
    <v>35</v>
    <v>32</v>
    <v>Kerala</v>
    <v>5</v>
    <v>6</v>
    <v>Map</v>
    <v>7</v>
    <v>36</v>
    <v>IN-KL</v>
    <v>75</v>
    <v>76</v>
    <v>3</v>
    <v>Kerala, officially Keralam, is a state on the Malabar Coast of India. It was formed on 1 November 1956, following the passage of the States Reorganisation Act, by combining Malayalam-speaking regions of the erstwhile regions of Cochin, Malabar, ...</v>
    <v>77</v>
    <v>78</v>
    <v>81</v>
    <v>82</v>
    <v>Kerala</v>
    <v>83</v>
    <v>84</v>
    <v>Kerala</v>
    <v>mdp/vdpid/16494</v>
  </rv>
  <rv s="0">
    <v>536870912</v>
    <v>Delhi</v>
    <v>275e8ab8-7bd0-4633-9c89-0133be92e587</v>
    <v>en-US</v>
    <v>Map</v>
  </rv>
  <rv s="1">
    <fb>1484</fb>
    <v>9</v>
  </rv>
  <rv s="0">
    <v>536870912</v>
    <v>Agra</v>
    <v>81f1ad26-8662-3666-e747-e352491a712e</v>
    <v>en-US</v>
    <v>Map</v>
  </rv>
  <rv s="0">
    <v>536870912</v>
    <v>Sur Empire</v>
    <v>14116fa5-c108-6564-e585-c8cd1d016837</v>
    <v>en-US</v>
    <v>Map</v>
  </rv>
  <rv s="2">
    <v>8</v>
    <v>7</v>
    <v>37</v>
    <v>7</v>
    <v>0</v>
    <v>Image of Delhi</v>
  </rv>
  <rv s="0">
    <v>805306368</v>
    <v>Vinai Kumar Saxena (Lieutenant governor)</v>
    <v>63e4d87a-b12e-3d7a-686e-620814853d36</v>
    <v>en-US</v>
    <v>Generic</v>
  </rv>
  <rv s="0">
    <v>805306368</v>
    <v>Arvind Kejriwal (Chief minister)</v>
    <v>406f9300-0c0c-3948-9d26-5c194e968300</v>
    <v>en-US</v>
    <v>Generic</v>
  </rv>
  <rv s="3">
    <v>11</v>
  </rv>
  <rv s="4">
    <v>https://www.bing.com/search?q=delhi&amp;form=skydnc</v>
    <v>Learn more on Bing</v>
  </rv>
  <rv s="1">
    <fb>26495000</fb>
    <v>9</v>
  </rv>
  <rv s="6">
    <v>#VALUE!</v>
    <v>en-US</v>
    <v>275e8ab8-7bd0-4633-9c89-0133be92e587</v>
    <v>536870912</v>
    <v>1</v>
    <v>39</v>
    <v>13</v>
    <v>Delhi</v>
    <v>5</v>
    <v>6</v>
    <v>Map</v>
    <v>7</v>
    <v>28</v>
    <v>IN-DL</v>
    <v>87</v>
    <v>88</v>
    <v>89</v>
    <v>Delhi, officially the National Capital Territory of Delhi, is a city and a union territory of India containing New Delhi, the capital of India. Lying on both sides of the Yamuna river, but chiefly to the west, or beyond its right bank, Delhi ...</v>
    <v>90</v>
    <v>93</v>
    <v>94</v>
    <v>Delhi</v>
    <v>95</v>
    <v>Delhi</v>
    <v>mdp/vdpid/10122740</v>
  </rv>
  <rv s="0">
    <v>536870912</v>
    <v>Kolkata</v>
    <v>e5f8e89d-f3e0-3a9e-7b62-24348d526819</v>
    <v>en-US</v>
    <v>Map</v>
  </rv>
  <rv s="1">
    <fb>206.08</fb>
    <v>9</v>
  </rv>
  <rv s="2">
    <v>9</v>
    <v>7</v>
    <v>40</v>
    <v>7</v>
    <v>0</v>
    <v>Image of Kolkata</v>
  </rv>
  <rv s="1">
    <fb>22.572672300000001</fb>
    <v>17</v>
  </rv>
  <rv s="0">
    <v>805306368</v>
    <v>Firhad Hakim (Mayor)</v>
    <v>899268aa-2ac9-4a09-bb3c-8fa5b3ea6848</v>
    <v>en-US</v>
    <v>Generic</v>
  </rv>
  <rv s="3">
    <v>12</v>
  </rv>
  <rv s="4">
    <v>https://www.bing.com/search?q=kolkata&amp;form=skydnc</v>
    <v>Learn more on Bing</v>
  </rv>
  <rv s="1">
    <fb>88.363881500000005</fb>
    <v>17</v>
  </rv>
  <rv s="1">
    <fb>4496694</fb>
    <v>9</v>
  </rv>
  <rv s="7">
    <v>#VALUE!</v>
    <v>en-US</v>
    <v>e5f8e89d-f3e0-3a9e-7b62-24348d526819</v>
    <v>536870912</v>
    <v>1</v>
    <v>41</v>
    <v>16</v>
    <v>Kolkata</v>
    <v>5</v>
    <v>6</v>
    <v>Map</v>
    <v>7</v>
    <v>8</v>
    <v>98</v>
    <v>53</v>
    <v>Kolkata is the capital and largest city of the Indian state of West Bengal. It lies on the eastern bank of the Hooghly River, 80 km west of the border with Bangladesh. It is the primary financial and commercial center of eastern and northeastern ...</v>
    <v>99</v>
    <v>100</v>
    <v>102</v>
    <v>103</v>
    <v>104</v>
    <v>Kolkata</v>
    <v>105</v>
    <v>Kolkata</v>
    <v>mdp/vdpid/7421784768603226114</v>
  </rv>
  <rv s="0">
    <v>536870912</v>
    <v>Ranchi</v>
    <v>9f3b1aac-b48a-884c-a9a7-48065cfbe5fe</v>
    <v>en-US</v>
    <v>Map</v>
  </rv>
  <rv s="1">
    <fb>652.02</fb>
    <v>9</v>
  </rv>
  <rv s="2">
    <v>10</v>
    <v>7</v>
    <v>42</v>
    <v>7</v>
    <v>0</v>
    <v>Image of Ranchi</v>
  </rv>
  <rv s="1">
    <fb>23.355555555555998</fb>
    <v>17</v>
  </rv>
  <rv s="0">
    <v>805306368</v>
    <v>Asha Lakra (Mayor)</v>
    <v>3d754bfb-67d5-43ce-fef3-343ef6b3176c</v>
    <v>en-US</v>
    <v>Generic</v>
  </rv>
  <rv s="3">
    <v>13</v>
  </rv>
  <rv s="4">
    <v>https://www.bing.com/search?q=ranchi&amp;form=skydnc</v>
    <v>Learn more on Bing</v>
  </rv>
  <rv s="1">
    <fb>85.334722222221998</fb>
    <v>17</v>
  </rv>
  <rv s="1">
    <fb>1073440</fb>
    <v>9</v>
  </rv>
  <rv s="7">
    <v>#VALUE!</v>
    <v>en-US</v>
    <v>9f3b1aac-b48a-884c-a9a7-48065cfbe5fe</v>
    <v>536870912</v>
    <v>1</v>
    <v>43</v>
    <v>16</v>
    <v>Ranchi</v>
    <v>5</v>
    <v>6</v>
    <v>Map</v>
    <v>7</v>
    <v>8</v>
    <v>108</v>
    <v>3</v>
    <v>Ranchi is the capital of the Indian state of Jharkhand. Ranchi was the centre of the Jharkhand movement, which called for a separate state for the tribal regions of South Bihar, northern Odisha, western West Bengal and the eastern area of what ...</v>
    <v>109</v>
    <v>110</v>
    <v>112</v>
    <v>113</v>
    <v>114</v>
    <v>Ranchi</v>
    <v>115</v>
    <v>Ranchi</v>
    <v>mdp/vdpid/7421144507342651393</v>
  </rv>
  <rv s="0">
    <v>536870912</v>
    <v>Amritsar</v>
    <v>b402236b-b272-6642-9b70-872e5252764b</v>
    <v>en-US</v>
    <v>Map</v>
  </rv>
  <rv s="1">
    <fb>170</fb>
    <v>9</v>
  </rv>
  <rv s="2">
    <v>11</v>
    <v>7</v>
    <v>44</v>
    <v>7</v>
    <v>0</v>
    <v>Image of Amritsar</v>
  </rv>
  <rv s="1">
    <fb>31.626916999999999</fb>
    <v>17</v>
  </rv>
  <rv s="0">
    <v>805306368</v>
    <v>Karamjit Singh Rintu (Mayor)</v>
    <v>434355c7-e170-d9b6-057d-2240a2e8a632</v>
    <v>en-US</v>
    <v>Generic</v>
  </rv>
  <rv s="3">
    <v>14</v>
  </rv>
  <rv s="4">
    <v>https://www.bing.com/search?q=amritsar&amp;form=skydnc</v>
    <v>Learn more on Bing</v>
  </rv>
  <rv s="1">
    <fb>74.877039999999994</fb>
    <v>17</v>
  </rv>
  <rv s="1">
    <fb>1132761</fb>
    <v>9</v>
  </rv>
  <rv s="7">
    <v>#VALUE!</v>
    <v>en-US</v>
    <v>b402236b-b272-6642-9b70-872e5252764b</v>
    <v>536870912</v>
    <v>1</v>
    <v>46</v>
    <v>16</v>
    <v>Amritsar</v>
    <v>5</v>
    <v>6</v>
    <v>Map</v>
    <v>7</v>
    <v>8</v>
    <v>118</v>
    <v>3</v>
    <v>Amritsar, historically also known as Rāmdāspur and colloquially as Ambarsar, is the second-largest city in the Indian state of Punjab, after Ludhiana. It is a major cultural, transportation and economic centre, located in the Majha region of ...</v>
    <v>119</v>
    <v>120</v>
    <v>122</v>
    <v>123</v>
    <v>124</v>
    <v>Amritsar</v>
    <v>125</v>
    <v>Amritsar</v>
    <v>mdp/vdpid/7406623777737408513</v>
  </rv>
  <rv s="0">
    <v>536870912</v>
    <v>Chennai</v>
    <v>d97acf5c-0a2b-cd2c-e895-ef8aa64b883b</v>
    <v>en-US</v>
    <v>Map</v>
  </rv>
  <rv s="0">
    <v>536870912</v>
    <v>Tamil Nadu</v>
    <v>6e3e5a82-8737-a613-1d99-0b4d68370109</v>
    <v>en-US</v>
    <v>Map</v>
  </rv>
  <rv s="0">
    <v>536870912</v>
    <v>Chennai district</v>
    <v>545d0b8c-14ff-f557-6235-7e3b843b3537</v>
    <v>en-US</v>
    <v>Map</v>
  </rv>
  <rv s="1">
    <fb>426</fb>
    <v>9</v>
  </rv>
  <rv s="2">
    <v>12</v>
    <v>7</v>
    <v>48</v>
    <v>7</v>
    <v>0</v>
    <v>Image of Chennai</v>
  </rv>
  <rv s="1">
    <fb>13.0825</fb>
    <v>17</v>
  </rv>
  <rv s="0">
    <v>805306368</v>
    <v>Priya Rajan (Mayor)</v>
    <v>e82eebd0-0fc2-cfff-9f6e-36ab49734194</v>
    <v>en-US</v>
    <v>Generic</v>
  </rv>
  <rv s="3">
    <v>15</v>
  </rv>
  <rv s="4">
    <v>https://www.bing.com/search?q=chennai&amp;form=skydnc</v>
    <v>Learn more on Bing</v>
  </rv>
  <rv s="1">
    <fb>80.275000000000006</fb>
    <v>17</v>
  </rv>
  <rv s="1">
    <fb>10265000</fb>
    <v>9</v>
  </rv>
  <rv s="11">
    <v>#VALUE!</v>
    <v>en-US</v>
    <v>d97acf5c-0a2b-cd2c-e895-ef8aa64b883b</v>
    <v>536870912</v>
    <v>1</v>
    <v>49</v>
    <v>50</v>
    <v>Chennai</v>
    <v>5</v>
    <v>6</v>
    <v>Map</v>
    <v>7</v>
    <v>28</v>
    <v>128</v>
    <v>129</v>
    <v>130</v>
    <v>53</v>
    <v>Chennai, formerly known as Madras, is the capital city of Tamil Nadu, the southernmost state of India. It is the state's primate city both in area and population and is located on the Coromandel Coast of the Bay of Bengal. According to the 2011 ...</v>
    <v>131</v>
    <v>132</v>
    <v>134</v>
    <v>135</v>
    <v>136</v>
    <v>Chennai</v>
    <v>137</v>
    <v>Chennai</v>
    <v>mdp/vdpid/7472814627122839553</v>
  </rv>
  <rv s="0">
    <v>536870912</v>
    <v>Hyderabad</v>
    <v>fd2ac1db-33b3-5509-fd5e-fea4038f50d5</v>
    <v>en-US</v>
    <v>Map</v>
  </rv>
  <rv s="0">
    <v>536870912</v>
    <v>Telangana</v>
    <v>19abdc7d-29ea-4ed5-99d8-3a1d7bc90b05</v>
    <v>en-US</v>
    <v>Map</v>
  </rv>
  <rv s="0">
    <v>536870912</v>
    <v>Hyderabad district</v>
    <v>54f6e2a5-4bbd-59c7-179f-13554a422370</v>
    <v>en-US</v>
    <v>Map</v>
  </rv>
  <rv s="1">
    <fb>650</fb>
    <v>9</v>
  </rv>
  <rv s="0">
    <v>536870912</v>
    <v>Mughal Empire</v>
    <v>4ec71d88-93bc-9e20-91e7-b043241aa2a4</v>
    <v>en-US</v>
    <v>Map</v>
  </rv>
  <rv s="2">
    <v>13</v>
    <v>7</v>
    <v>51</v>
    <v>7</v>
    <v>0</v>
    <v>Image of Hyderabad</v>
  </rv>
  <rv s="1">
    <fb>17.3616666666667</fb>
    <v>17</v>
  </rv>
  <rv s="0">
    <v>805306368</v>
    <v>Gadwal Vijayalakshmi (Mayor)</v>
    <v>a531516c-02cc-564c-5f8f-e2f319217d01</v>
    <v>en-US</v>
    <v>Generic</v>
  </rv>
  <rv s="3">
    <v>16</v>
  </rv>
  <rv s="4">
    <v>https://www.bing.com/search?q=hyderabad&amp;form=skydnc</v>
    <v>Learn more on Bing</v>
  </rv>
  <rv s="1">
    <fb>78.474722222222198</fb>
    <v>17</v>
  </rv>
  <rv s="1">
    <fb>9305000</fb>
    <v>9</v>
  </rv>
  <rv s="11">
    <v>#VALUE!</v>
    <v>en-US</v>
    <v>fd2ac1db-33b3-5509-fd5e-fea4038f50d5</v>
    <v>536870912</v>
    <v>1</v>
    <v>52</v>
    <v>50</v>
    <v>Hyderabad</v>
    <v>5</v>
    <v>6</v>
    <v>Map</v>
    <v>7</v>
    <v>28</v>
    <v>140</v>
    <v>141</v>
    <v>142</v>
    <v>143</v>
    <v>Hyderabad is the capital and largest city of the Indian state of Telangana. It occupies 650 km² on the Deccan Plateau along the banks of the Musi River, in the northern part of Southern India. With an average altitude of 542 m, much of Hyderabad ...</v>
    <v>144</v>
    <v>145</v>
    <v>147</v>
    <v>148</v>
    <v>149</v>
    <v>Hyderabad</v>
    <v>150</v>
    <v>Hyderabad</v>
    <v>mdp/vdpid/7462438330018299905</v>
  </rv>
  <rv s="3">
    <v>17</v>
  </rv>
  <rv s="12">
    <v>{D39871FC-E878-4663-8797-641978E51746}</v>
    <v>0</v>
    <v>53</v>
    <v>152</v>
  </rv>
</rvData>
</file>

<file path=xl/richData/rdrichvaluestructure.xml><?xml version="1.0" encoding="utf-8"?>
<rvStructures xmlns="http://schemas.microsoft.com/office/spreadsheetml/2017/richdata" count="13">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UniqueName" t="s"/>
    <k n="VDPID/VSID" t="s"/>
  </s>
  <s t="_datasourcecontainer">
    <k n="%XLUID" t="s"/>
    <k n="_CRID" t="i"/>
    <k n="_Display" t="spb"/>
    <k n="City" t="r"/>
  </s>
</rvStructures>
</file>

<file path=xl/richData/rdsupportingpropertybag.xml><?xml version="1.0" encoding="utf-8"?>
<supportingPropertyBags xmlns="http://schemas.microsoft.com/office/spreadsheetml/2017/richdata2">
  <spbArrays count="8">
    <a count="25">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Capital/Major City</v>
      <v t="s">Leader(s)</v>
      <v t="s">Country/region</v>
      <v t="s">_SubLabel</v>
      <v t="s">Population</v>
      <v t="s">Area</v>
      <v t="s">Abbreviation</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Leader(s)</v>
      <v t="s">_SubLabel</v>
      <v t="s">Population</v>
      <v t="s">Area</v>
      <v t="s">Latitude</v>
      <v t="s">Longitude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Image</v>
      <v t="s">Description</v>
    </a>
    <a count="4">
      <v t="s">City</v>
      <v t="s">_CRID</v>
      <v t="s">%XLUID</v>
      <v t="s">_Display</v>
    </a>
  </spbArrays>
  <spbData count="54">
    <spb s="0">
      <v xml:space="preserve">Wikipedia	</v>
      <v xml:space="preserve">CC BY-SA 3.0	</v>
      <v xml:space="preserve">https://en.wikipedia.org/wiki/Punjab,_India	</v>
      <v xml:space="preserve">https://creativecommons.org/licenses/by-sa/3.0	</v>
    </spb>
    <spb s="0">
      <v xml:space="preserve">Wikipedia	</v>
      <v xml:space="preserve">CC-BY-SA	</v>
      <v xml:space="preserve">http://en.wikipedia.org/wiki/Punjab,_India	</v>
      <v xml:space="preserve">http://creativecommons.org/licenses/by-sa/3.0/	</v>
    </spb>
    <spb s="1">
      <v>0</v>
      <v>0</v>
      <v>0</v>
      <v>0</v>
      <v>0</v>
      <v>1</v>
      <v>0</v>
      <v>0</v>
      <v>0</v>
    </spb>
    <spb s="2">
      <v>0</v>
      <v>Name</v>
      <v>LearnMoreOnLink</v>
    </spb>
    <spb s="3">
      <v>0</v>
      <v>0</v>
      <v>0</v>
    </spb>
    <spb s="4">
      <v>4</v>
      <v>4</v>
      <v>4</v>
    </spb>
    <spb s="5">
      <v>1</v>
      <v>2</v>
    </spb>
    <spb s="6">
      <v>https://www.bing.com</v>
      <v>https://www.bing.com/th?id=Ga%5Cbing_yt.png&amp;w=100&amp;h=40&amp;c=0&amp;pid=0.1</v>
      <v>Powered by Bing</v>
    </spb>
    <spb s="7">
      <v>square km</v>
      <v>2011</v>
    </spb>
    <spb s="8">
      <v>3</v>
    </spb>
    <spb s="0">
      <v xml:space="preserve">Wikipedia	</v>
      <v xml:space="preserve">CC BY-SA 3.0	</v>
      <v xml:space="preserve">https://en.wikipedia.org/wiki/Chandigarh	</v>
      <v xml:space="preserve">https://creativecommons.org/licenses/by-sa/3.0	</v>
    </spb>
    <spb s="0">
      <v xml:space="preserve">Wikipedia	</v>
      <v xml:space="preserve">CC-BY-SA	</v>
      <v xml:space="preserve">http://en.wikipedia.org/wiki/Chandigarh	</v>
      <v xml:space="preserve">http://creativecommons.org/licenses/by-sa/3.0/	</v>
    </spb>
    <spb s="9">
      <v>10</v>
      <v>10</v>
      <v>10</v>
      <v>10</v>
      <v>10</v>
      <v>11</v>
      <v>10</v>
      <v>10</v>
    </spb>
    <spb s="2">
      <v>1</v>
      <v>Name</v>
      <v>LearnMoreOnLink</v>
    </spb>
    <spb s="0">
      <v xml:space="preserve">Wikipedia	</v>
      <v xml:space="preserve">CC BY-SA 3.0	</v>
      <v xml:space="preserve">https://en.wikipedia.org/wiki/Ludhiana	</v>
      <v xml:space="preserve">https://creativecommons.org/licenses/by-sa/3.0	</v>
    </spb>
    <spb s="10">
      <v>14</v>
      <v>14</v>
      <v>14</v>
      <v>14</v>
      <v>14</v>
      <v>14</v>
      <v>14</v>
      <v>14</v>
    </spb>
    <spb s="2">
      <v>2</v>
      <v>Name</v>
      <v>LearnMoreOnLink</v>
    </spb>
    <spb s="8">
      <v>4</v>
    </spb>
    <spb s="0">
      <v xml:space="preserve">Wikipedia	</v>
      <v xml:space="preserve">CC BY-SA 3.0	</v>
      <v xml:space="preserve">https://en.wikipedia.org/wiki/Bihar	</v>
      <v xml:space="preserve">https://creativecommons.org/licenses/by-sa/3.0	</v>
    </spb>
    <spb s="0">
      <v xml:space="preserve">Wikipedia	</v>
      <v xml:space="preserve">CC-BY-SA	</v>
      <v xml:space="preserve">http://en.wikipedia.org/wiki/Bihar	</v>
      <v xml:space="preserve">http://creativecommons.org/licenses/by-sa/3.0/	</v>
    </spb>
    <spb s="1">
      <v>18</v>
      <v>18</v>
      <v>18</v>
      <v>18</v>
      <v>18</v>
      <v>19</v>
      <v>18</v>
      <v>18</v>
      <v>18</v>
    </spb>
    <spb s="0">
      <v xml:space="preserve">Wikipedia	</v>
      <v xml:space="preserve">CC BY-SA 3.0	</v>
      <v xml:space="preserve">https://en.wikipedia.org/wiki/Gujarat	</v>
      <v xml:space="preserve">https://creativecommons.org/licenses/by-sa/3.0	</v>
    </spb>
    <spb s="0">
      <v xml:space="preserve">Wikipedia	</v>
      <v xml:space="preserve">CC-BY-SA	</v>
      <v xml:space="preserve">http://en.wikipedia.org/wiki/Gujarat	</v>
      <v xml:space="preserve">http://creativecommons.org/licenses/by-sa/3.0/	</v>
    </spb>
    <spb s="1">
      <v>21</v>
      <v>21</v>
      <v>21</v>
      <v>21</v>
      <v>21</v>
      <v>22</v>
      <v>21</v>
      <v>21</v>
      <v>21</v>
    </spb>
    <spb s="2">
      <v>3</v>
      <v>Name</v>
      <v>LearnMoreOnLink</v>
    </spb>
    <spb s="0">
      <v xml:space="preserve">Wikipedia	</v>
      <v xml:space="preserve">CC BY-SA 3.0	</v>
      <v xml:space="preserve">https://en.wikipedia.org/wiki/Ahmedabad	</v>
      <v xml:space="preserve">https://creativecommons.org/licenses/by-sa/3.0	</v>
    </spb>
    <spb s="11">
      <v>25</v>
      <v>25</v>
      <v>25</v>
      <v>25</v>
      <v>25</v>
      <v>25</v>
      <v>25</v>
      <v>25</v>
      <v>25</v>
    </spb>
    <spb s="2">
      <v>4</v>
      <v>Name</v>
      <v>LearnMoreOnLink</v>
    </spb>
    <spb s="7">
      <v>square km</v>
      <v>2016</v>
    </spb>
    <spb s="0">
      <v xml:space="preserve">Wikipedia	</v>
      <v xml:space="preserve">CC BY-SA 3.0	</v>
      <v xml:space="preserve">https://en.wikipedia.org/wiki/Andhra_Pradesh	</v>
      <v xml:space="preserve">https://creativecommons.org/licenses/by-sa/3.0	</v>
    </spb>
    <spb s="0">
      <v xml:space="preserve">Wikipedia	</v>
      <v xml:space="preserve">CC-BY-SA	</v>
      <v xml:space="preserve">http://en.wikipedia.org/wiki/Andhra_Pradesh	</v>
      <v xml:space="preserve">http://creativecommons.org/licenses/by-sa/3.0/	</v>
    </spb>
    <spb s="1">
      <v>29</v>
      <v>29</v>
      <v>29</v>
      <v>29</v>
      <v>29</v>
      <v>30</v>
      <v>29</v>
      <v>29</v>
      <v>29</v>
    </spb>
    <spb s="2">
      <v>5</v>
      <v>Name</v>
      <v>LearnMoreOnLink</v>
    </spb>
    <spb s="0">
      <v xml:space="preserve">Wikipedia	</v>
      <v xml:space="preserve">CC BY-SA 3.0	</v>
      <v xml:space="preserve">https://en.wikipedia.org/wiki/Kerala	</v>
      <v xml:space="preserve">https://creativecommons.org/licenses/by-sa/3.0	</v>
    </spb>
    <spb s="0">
      <v xml:space="preserve">Wikipedia	</v>
      <v xml:space="preserve">CC-BY-SA	</v>
      <v xml:space="preserve">http://en.wikipedia.org/wiki/Kerala	</v>
      <v xml:space="preserve">http://creativecommons.org/licenses/by-sa/3.0/	</v>
    </spb>
    <spb s="1">
      <v>33</v>
      <v>33</v>
      <v>33</v>
      <v>33</v>
      <v>33</v>
      <v>34</v>
      <v>33</v>
      <v>33</v>
      <v>33</v>
    </spb>
    <spb s="7">
      <v>square km</v>
      <v>2017</v>
    </spb>
    <spb s="0">
      <v xml:space="preserve">Wikipedia	</v>
      <v xml:space="preserve">CC BY-SA 3.0	</v>
      <v xml:space="preserve">https://en.wikipedia.org/wiki/Delhi	</v>
      <v xml:space="preserve">https://creativecommons.org/licenses/by-sa/3.0	</v>
    </spb>
    <spb s="0">
      <v xml:space="preserve">Wikipedia	</v>
      <v xml:space="preserve">CC-BY-SA	</v>
      <v xml:space="preserve">http://en.wikipedia.org/wiki/Delhi	</v>
      <v xml:space="preserve">http://creativecommons.org/licenses/by-sa/3.0/	</v>
    </spb>
    <spb s="9">
      <v>37</v>
      <v>37</v>
      <v>37</v>
      <v>37</v>
      <v>37</v>
      <v>38</v>
      <v>37</v>
      <v>37</v>
    </spb>
    <spb s="0">
      <v xml:space="preserve">Wikipedia	</v>
      <v xml:space="preserve">CC BY-SA 3.0	</v>
      <v xml:space="preserve">https://en.wikipedia.org/wiki/Kolkata	</v>
      <v xml:space="preserve">https://creativecommons.org/licenses/by-sa/3.0	</v>
    </spb>
    <spb s="10">
      <v>40</v>
      <v>40</v>
      <v>40</v>
      <v>40</v>
      <v>40</v>
      <v>40</v>
      <v>40</v>
      <v>40</v>
    </spb>
    <spb s="0">
      <v xml:space="preserve">Wikipedia	</v>
      <v xml:space="preserve">CC BY-SA 3.0	</v>
      <v xml:space="preserve">https://en.wikipedia.org/wiki/Ranchi	</v>
      <v xml:space="preserve">https://creativecommons.org/licenses/by-sa/3.0	</v>
    </spb>
    <spb s="10">
      <v>42</v>
      <v>42</v>
      <v>42</v>
      <v>42</v>
      <v>42</v>
      <v>42</v>
      <v>42</v>
      <v>42</v>
    </spb>
    <spb s="0">
      <v xml:space="preserve">Wikipedia	</v>
      <v xml:space="preserve">CC BY-SA 3.0	</v>
      <v xml:space="preserve">https://en.wikipedia.org/wiki/Amritsar	</v>
      <v xml:space="preserve">https://creativecommons.org/licenses/by-sa/3.0	</v>
    </spb>
    <spb s="0">
      <v xml:space="preserve">Wikipedia	</v>
      <v xml:space="preserve">CC-BY-SA	</v>
      <v xml:space="preserve">http://en.wikipedia.org/wiki/Amritsar	</v>
      <v xml:space="preserve">http://creativecommons.org/licenses/by-sa/3.0/	</v>
    </spb>
    <spb s="10">
      <v>44</v>
      <v>44</v>
      <v>44</v>
      <v>44</v>
      <v>45</v>
      <v>44</v>
      <v>44</v>
      <v>44</v>
    </spb>
    <spb s="0">
      <v xml:space="preserve">Wikipedia	</v>
      <v xml:space="preserve">CC-BY-SA	</v>
      <v xml:space="preserve">http://en.wikipedia.org/wiki/Chennai	</v>
      <v xml:space="preserve">http://creativecommons.org/licenses/by-sa/3.0/	</v>
    </spb>
    <spb s="0">
      <v xml:space="preserve">Wikipedia	</v>
      <v xml:space="preserve">CC BY-SA 3.0	</v>
      <v xml:space="preserve">https://en.wikipedia.org/wiki/Chennai	</v>
      <v xml:space="preserve">https://creativecommons.org/licenses/by-sa/3.0	</v>
    </spb>
    <spb s="12">
      <v>47</v>
      <v>48</v>
      <v>48</v>
      <v>48</v>
      <v>48</v>
      <v>48</v>
      <v>48</v>
      <v>48</v>
      <v>48</v>
      <v>48</v>
    </spb>
    <spb s="2">
      <v>6</v>
      <v>Name</v>
      <v>LearnMoreOnLink</v>
    </spb>
    <spb s="0">
      <v xml:space="preserve">Wikipedia	</v>
      <v xml:space="preserve">CC BY-SA 3.0	</v>
      <v xml:space="preserve">https://en.wikipedia.org/wiki/Hyderabad	</v>
      <v xml:space="preserve">https://creativecommons.org/licenses/by-sa/3.0	</v>
    </spb>
    <spb s="12">
      <v>51</v>
      <v>51</v>
      <v>51</v>
      <v>51</v>
      <v>51</v>
      <v>51</v>
      <v>51</v>
      <v>51</v>
      <v>51</v>
      <v>51</v>
    </spb>
    <spb s="13">
      <v>7</v>
    </spb>
  </spbData>
</supportingPropertyBags>
</file>

<file path=xl/richData/rdsupportingpropertybagstructure.xml><?xml version="1.0" encoding="utf-8"?>
<spbStructures xmlns="http://schemas.microsoft.com/office/spreadsheetml/2017/richdata2" count="14">
  <s>
    <k n="SourceText" t="s"/>
    <k n="LicenseText" t="s"/>
    <k n="SourceAddress" t="s"/>
    <k n="LicenseAddress" t="s"/>
  </s>
  <s>
    <k n="Area" t="spb"/>
    <k n="Name" t="spb"/>
    <k n="Population" t="spb"/>
    <k n="UniqueName" t="spb"/>
    <k n="Description" t="spb"/>
    <k n="Abbreviation" t="spb"/>
    <k n="Largest city" t="spb"/>
    <k n="Country/region" t="spb"/>
    <k n="Capital/Major City"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Area" t="spb"/>
    <k n="Name" t="spb"/>
    <k n="Population" t="spb"/>
    <k n="UniqueName" t="spb"/>
    <k n="Description" t="spb"/>
    <k n="Abbreviation" t="spb"/>
    <k n="Country/region" t="spb"/>
    <k n="Capital/Major City" t="spb"/>
  </s>
  <s>
    <k n="Area" t="spb"/>
    <k n="Name" t="spb"/>
    <k n="Latitude" t="spb"/>
    <k n="Longitude" t="spb"/>
    <k n="Population" t="spb"/>
    <k n="UniqueName" t="spb"/>
    <k n="Description" t="spb"/>
    <k n="Country/region" t="spb"/>
  </s>
  <s>
    <k n="Area" t="spb"/>
    <k n="Name" t="spb"/>
    <k n="Latitude" t="spb"/>
    <k n="Longitude" t="spb"/>
    <k n="Population" t="spb"/>
    <k n="UniqueName" t="spb"/>
    <k n="Description" t="spb"/>
    <k n="Country/region" t="spb"/>
    <k n="Admin Division 1 (State/province/other)" t="spb"/>
  </s>
  <s>
    <k n="Area" t="spb"/>
    <k n="Name" t="spb"/>
    <k n="Latitude" t="spb"/>
    <k n="Longitude" t="spb"/>
    <k n="Population" t="spb"/>
    <k n="UniqueName" t="spb"/>
    <k n="Description" t="spb"/>
    <k n="Country/region" t="spb"/>
    <k n="Admin Division 1 (State/province/other)" t="spb"/>
    <k n="Admin Division 2 (County/district/other)" t="spb"/>
  </s>
  <s>
    <k n="^Order" t="spba"/>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TitleField" t="b"/>
    <rPr n="IsHeroField" t="b"/>
    <rPr n="NumberFormat" t="s"/>
  </richProperties>
  <richStyles>
    <rSty>
      <rpv i="0">1</rpv>
    </rSty>
    <rSty>
      <rpv i="1">1</rpv>
    </rSty>
    <rSty dxfid="0">
      <rpv i="2">#,##0</rpv>
    </rSty>
    <rSty dxfid="1">
      <rpv i="2">0.0000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65CC29-A78F-48B8-99E1-3720DAB092A5}" name="Table1" displayName="Table1" ref="A1:AB21" totalsRowShown="0" headerRowDxfId="178" dataDxfId="177" headerRowBorderDxfId="175" tableBorderDxfId="176" totalsRowBorderDxfId="174">
  <autoFilter ref="A1:AB21" xr:uid="{F965CC29-A78F-48B8-99E1-3720DAB092A5}"/>
  <tableColumns count="28">
    <tableColumn id="1" xr3:uid="{53E1FF91-F727-4485-B92B-FBD518B6E79D}" name="Employee_ID" dataDxfId="173"/>
    <tableColumn id="2" xr3:uid="{1039FC6A-131F-41D2-A021-25F51AA57023}" name="Employee_Name" dataDxfId="172"/>
    <tableColumn id="3" xr3:uid="{AFBF9DCC-DEA7-4FED-9394-C382E001E8D4}" name="Gender" dataDxfId="171"/>
    <tableColumn id="4" xr3:uid="{B89CBAC8-40F9-4E7E-BF90-2052267493DE}" name="Age" dataDxfId="170"/>
    <tableColumn id="5" xr3:uid="{6088FCDD-7F0B-448D-B9BF-17C33AA49E87}" name="Joining_Date" dataDxfId="169"/>
    <tableColumn id="6" xr3:uid="{8E3BAECF-F001-4AC1-9DED-075C8F243E0E}" name="Managers_Names" dataDxfId="168"/>
    <tableColumn id="7" xr3:uid="{DF1D0DA1-69C9-4043-BB86-DC06A17F5B52}" name="Performance_Rating" dataDxfId="167"/>
    <tableColumn id="8" xr3:uid="{A47388E5-BB14-4E34-BC5D-BB6117273A42}" name="Leave _aken" dataDxfId="166"/>
    <tableColumn id="9" xr3:uid="{FE300F6B-D7FF-4C33-8C55-2A6F4D470E43}" name="City" dataDxfId="165"/>
    <tableColumn id="10" xr3:uid="{B82BE843-3344-47DF-B55F-BAFF35E51F9D}" name="Employment_Status" dataDxfId="164"/>
    <tableColumn id="11" xr3:uid="{750ED9F5-529C-4839-A1A9-25BD1761529F}" name="Marital_Status" dataDxfId="163"/>
    <tableColumn id="12" xr3:uid="{0EF38633-AF62-4C9B-BD06-C3E250C07DDA}" name="Work_mode" dataDxfId="162"/>
    <tableColumn id="13" xr3:uid="{FE86E9EB-0C5C-4B6C-AAB7-777F55566257}" name="Education" dataDxfId="161"/>
    <tableColumn id="14" xr3:uid="{DCE09EAC-B57D-44A5-92CC-B20A2DDAA8F7}" name="Job_Location" dataDxfId="160"/>
    <tableColumn id="15" xr3:uid="{8D8C9E10-241D-46FD-B625-57A01C299DDD}" name="Date_of_birth" dataDxfId="159"/>
    <tableColumn id="16" xr3:uid="{E20C1AD5-3C1B-4597-972C-A314EAAD0FB3}" name="BLood_Group" dataDxfId="158"/>
    <tableColumn id="17" xr3:uid="{F3368D76-BDC9-40DE-9E91-8BEA4AB7DC90}" name="Email_ID" dataDxfId="157" dataCellStyle="Hyperlink"/>
    <tableColumn id="18" xr3:uid="{92098CFE-274A-46CA-B548-BB54DA68AABD}" name="Phone_Number" dataDxfId="156"/>
    <tableColumn id="19" xr3:uid="{95E52D5E-83D7-4EAA-8E87-AA4C5BF9D4F2}" name="University" dataDxfId="155"/>
    <tableColumn id="20" xr3:uid="{FE60F898-49BE-4FE1-AC56-7E6CFCF5816B}" name="Employee_type" dataDxfId="154"/>
    <tableColumn id="21" xr3:uid="{84EEFF61-AE2D-40B2-BF4A-810A2AF227F3}" name="Employee_category" dataDxfId="153"/>
    <tableColumn id="22" xr3:uid="{040BFEAC-44E9-40D5-8BE2-B6EE611E4246}" name="Basis_salary" dataDxfId="152"/>
    <tableColumn id="23" xr3:uid="{11D0CA34-8A22-45EF-A11F-9739275DCD67}" name="Transport_Allowance" dataDxfId="151"/>
    <tableColumn id="24" xr3:uid="{9D17AC11-F413-4F8D-82F1-EB8996EA0403}" name="Medical_Allowance" dataDxfId="150"/>
    <tableColumn id="25" xr3:uid="{5595E00C-4795-47E0-A38A-FA84C2314435}" name="Bonus" dataDxfId="149"/>
    <tableColumn id="26" xr3:uid="{D8AA8F78-2AB0-42CA-B233-4B9B0AD11DBD}" name="HRA (House_Rent_Allowance)" dataDxfId="148"/>
    <tableColumn id="27" xr3:uid="{5887153A-ABF3-4E23-838E-902816366B48}" name="Net_Salary" dataDxfId="147">
      <calculatedColumnFormula>SUM(V2,W2,X2,Y2,Z2)</calculatedColumnFormula>
    </tableColumn>
    <tableColumn id="28" xr3:uid="{1818D7F1-A1F4-492A-998A-C222091091F3}" name="Annual_Salary" dataDxfId="146">
      <calculatedColumnFormula>AA2*12</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E2F40EA-36DE-4FC2-A7F9-FE559241837A}" name="Table13" displayName="Table13" ref="A1:AB21" totalsRowShown="0" headerRowDxfId="140" dataDxfId="139" headerRowBorderDxfId="137" tableBorderDxfId="138" totalsRowBorderDxfId="136">
  <autoFilter ref="A1:AB21" xr:uid="{F965CC29-A78F-48B8-99E1-3720DAB092A5}"/>
  <tableColumns count="28">
    <tableColumn id="1" xr3:uid="{5D763186-AA4C-407C-A626-AB8DBE5FF21A}" name="Employee_ID" dataDxfId="135"/>
    <tableColumn id="2" xr3:uid="{155D7117-9459-49F8-B99C-BFBBB50ECE2D}" name="Employee_Name" dataDxfId="134"/>
    <tableColumn id="3" xr3:uid="{1561AD05-1D1E-4035-9751-DB4AD643C725}" name="Gender" dataDxfId="133"/>
    <tableColumn id="4" xr3:uid="{B2014DD7-2E31-4B51-BE06-EBC131D73CD9}" name="Age" dataDxfId="132"/>
    <tableColumn id="5" xr3:uid="{DF0EF17E-CC4E-470F-988D-DB503967447A}" name="Joining_Date" dataDxfId="131"/>
    <tableColumn id="6" xr3:uid="{166CBF65-6738-425E-BBBB-00E4B9A8B4A7}" name="Managers_Names" dataDxfId="130"/>
    <tableColumn id="7" xr3:uid="{F2997F10-424A-4A9E-84DE-18F2E4B84FFC}" name="Performance_Rating" dataDxfId="129"/>
    <tableColumn id="8" xr3:uid="{D50BA029-4F7A-40DF-8004-31AFBE5788DD}" name="Leave _aken" dataDxfId="128"/>
    <tableColumn id="9" xr3:uid="{40F04F6D-8E3D-498E-AB5B-2E5390E2A89E}" name="City" dataDxfId="127"/>
    <tableColumn id="10" xr3:uid="{009FE6D9-5CBE-48FE-A362-EAAD105492E5}" name="Employment_Status" dataDxfId="126"/>
    <tableColumn id="11" xr3:uid="{C601F999-4B07-4032-A5BF-27B39DDD99D2}" name="Marital_Status" dataDxfId="125"/>
    <tableColumn id="12" xr3:uid="{9E84AB29-F9E2-4F66-8CC1-AD1CBCF4FCBD}" name="Work_mode" dataDxfId="124"/>
    <tableColumn id="13" xr3:uid="{A9D84B95-7FF2-4B68-AACF-177BC6791EAF}" name="Education" dataDxfId="123"/>
    <tableColumn id="14" xr3:uid="{54FCA364-11EC-46D2-B981-1A4E0EB5FED2}" name="Job_Location" dataDxfId="122"/>
    <tableColumn id="15" xr3:uid="{181648E8-B86A-4012-9A27-9725855C65FC}" name="Date_of_birth" dataDxfId="121"/>
    <tableColumn id="16" xr3:uid="{83D48165-FC69-4E9D-82B8-ACC67B28B62D}" name="BLood_Group" dataDxfId="120"/>
    <tableColumn id="17" xr3:uid="{076377FF-1F44-4A56-8F58-1025BA23743C}" name="Email_ID" dataDxfId="119" dataCellStyle="Hyperlink"/>
    <tableColumn id="18" xr3:uid="{4D220160-3C8E-40B5-9A6B-5455D03A5A8B}" name="Phone_Number" dataDxfId="118"/>
    <tableColumn id="19" xr3:uid="{7B24143A-9641-47A7-99FA-2FC9157A2DCE}" name="University" dataDxfId="117"/>
    <tableColumn id="20" xr3:uid="{7BE92707-5E0C-4DBB-9B1F-04FCF1FF5698}" name="Employee_type" dataDxfId="116"/>
    <tableColumn id="21" xr3:uid="{CC029800-9806-4849-B8AD-51F87ACECFC7}" name="Employee_category" dataDxfId="115"/>
    <tableColumn id="22" xr3:uid="{A45610CD-8DDF-41ED-A610-A4A476B0F82F}" name="Basis_salary" dataDxfId="114"/>
    <tableColumn id="23" xr3:uid="{E096FC16-F021-4CF6-8CAF-9C3F16D669F9}" name="Transport_Allowance" dataDxfId="113"/>
    <tableColumn id="24" xr3:uid="{010ECF43-DFC3-4192-B8CC-DE1D62BE94CF}" name="Medical_Allowance" dataDxfId="112"/>
    <tableColumn id="25" xr3:uid="{673A9C20-3DD2-48D3-9C07-0B88F972DEA8}" name="Bonus" dataDxfId="111"/>
    <tableColumn id="26" xr3:uid="{5B30C517-9740-4307-A972-222C4C5823ED}" name="HRA (House_Rent_Allowance)" dataDxfId="110"/>
    <tableColumn id="27" xr3:uid="{64BAA9FC-4C6C-437E-BFF8-D3D1FF909A0A}" name="Net_Salary" dataDxfId="109">
      <calculatedColumnFormula>SUM(V2,W2,X2,Y2,Z2)</calculatedColumnFormula>
    </tableColumn>
    <tableColumn id="28" xr3:uid="{59ECA539-7347-4B84-98AD-828CD5A80CA0}" name="Annual_Salary" dataDxfId="108">
      <calculatedColumnFormula>AA2*12</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77F7B78-B74F-4DF4-A700-FDBF36800D78}" name="Table134" displayName="Table134" ref="A1:AE21" totalsRowShown="0" headerRowDxfId="107" dataDxfId="106" headerRowBorderDxfId="104" tableBorderDxfId="105" totalsRowBorderDxfId="103">
  <autoFilter ref="A1:AE21" xr:uid="{F965CC29-A78F-48B8-99E1-3720DAB092A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7B521823-D420-43B9-986C-C07ACDEBAD00}" name="Employee_ID" dataDxfId="102"/>
    <tableColumn id="2" xr3:uid="{D19D4166-C5A7-4144-A099-47659EAA459B}" name="Employee_Name" dataDxfId="101"/>
    <tableColumn id="3" xr3:uid="{7BF9563A-054B-414B-8C7E-C65B0CEA393D}" name="Gender" dataDxfId="100"/>
    <tableColumn id="4" xr3:uid="{4A6E8A0D-5D5D-4A96-AB9F-3F2768EF7507}" name="Age" dataDxfId="99"/>
    <tableColumn id="5" xr3:uid="{26346BE1-1EE7-4543-94AF-7D5A3E9A50AC}" name="Joining_Date" dataDxfId="98"/>
    <tableColumn id="6" xr3:uid="{08AB5E1A-C64C-4DAF-B0AC-4CDE35297907}" name="Managers_Names" dataDxfId="97"/>
    <tableColumn id="7" xr3:uid="{73F28DF8-55A1-4669-8075-9D05C3140892}" name="Performance_Rating" dataDxfId="96"/>
    <tableColumn id="8" xr3:uid="{8A0085F7-886D-403C-B3F8-045E632587A2}" name="Leave _aken" dataDxfId="95"/>
    <tableColumn id="9" xr3:uid="{0B18633B-ECCF-49F9-B422-5CA8F9359B60}" name="City" dataDxfId="94"/>
    <tableColumn id="10" xr3:uid="{5C5F1B02-1983-41AD-84AD-04289D0D0526}" name="Employment_Status" dataDxfId="93"/>
    <tableColumn id="11" xr3:uid="{51C4AD0C-1F1D-44C2-A985-D001C7E06A49}" name="Marital_Status" dataDxfId="92"/>
    <tableColumn id="12" xr3:uid="{863F7F25-3BE4-4577-9130-F65348F1CD4F}" name="Work_mode" dataDxfId="91"/>
    <tableColumn id="13" xr3:uid="{BFCBCC95-C49C-4626-8A58-EDD0EBEF7484}" name="Education" dataDxfId="90"/>
    <tableColumn id="14" xr3:uid="{DB0A7B3F-6EFF-4D66-8394-720F03BABD7C}" name="Job_Location" dataDxfId="89"/>
    <tableColumn id="15" xr3:uid="{A0C36474-8FE6-4FE7-BE1F-6187C22DD265}" name="Date_of_birth" dataDxfId="88"/>
    <tableColumn id="16" xr3:uid="{B8B949C5-4F1A-4CF0-8D69-86A68D1F81D2}" name="BLood_Group" dataDxfId="87"/>
    <tableColumn id="17" xr3:uid="{ED6A0101-D073-404D-AFA1-0F20681FD82E}" name="Email_ID" dataDxfId="86" dataCellStyle="Hyperlink"/>
    <tableColumn id="18" xr3:uid="{84B5492A-63D6-424F-9488-87EEA763881A}" name="Phone_Number" dataDxfId="85"/>
    <tableColumn id="19" xr3:uid="{357B0710-F929-472C-9DCB-8B65C0F222C1}" name="University" dataDxfId="84"/>
    <tableColumn id="20" xr3:uid="{D13EF31D-05DF-4791-B774-332A6A0D7A7E}" name="Employee_type" dataDxfId="83"/>
    <tableColumn id="21" xr3:uid="{9DD00766-B510-48DF-BD30-4493DC376187}" name="Employee_category" dataDxfId="82"/>
    <tableColumn id="22" xr3:uid="{B0ED30C7-790E-4939-99AD-19BCFDA06E55}" name="Basis_salary" dataDxfId="81"/>
    <tableColumn id="23" xr3:uid="{1B381349-B92F-4286-AB1B-F48A4120E118}" name="Transport_Allowance" dataDxfId="80"/>
    <tableColumn id="24" xr3:uid="{68B8EB90-EEBE-437F-9EEB-BF97B44A5B1D}" name="Medical_Allowance" dataDxfId="79"/>
    <tableColumn id="25" xr3:uid="{931EA531-DD1C-4712-8DA2-9DA925A7E254}" name="Bonus" dataDxfId="78"/>
    <tableColumn id="26" xr3:uid="{B2EA1E51-9D85-4DC4-BE5F-7AB1BF82A007}" name="HRA (House_Rent_Allowance)" dataDxfId="77"/>
    <tableColumn id="27" xr3:uid="{8811F228-F63C-4587-9A31-7DCF01AE040B}" name="Net_Salary" dataDxfId="76">
      <calculatedColumnFormula>SUM(V2,W2,X2,Y2,Z2)</calculatedColumnFormula>
    </tableColumn>
    <tableColumn id="28" xr3:uid="{1A43E54D-F0F7-4BC5-B221-D933DD271A3B}" name="Annual_Salary" dataDxfId="75">
      <calculatedColumnFormula>AA2*12</calculatedColumnFormula>
    </tableColumn>
    <tableColumn id="29" xr3:uid="{76FCE9A1-2D11-4B28-B9EE-B3BADE644D57}" name="Pomotion_Eligibilty" dataDxfId="74">
      <calculatedColumnFormula>IF(Table134[[#This Row],[Performance_Rating]]&gt;5,"YES","NO")</calculatedColumnFormula>
    </tableColumn>
    <tableColumn id="30" xr3:uid="{C44271C9-341B-46F7-A242-5F9D6ECC8C54}" name="Experience" dataDxfId="73">
      <calculatedColumnFormula>YEARFRAC(Table134[[#This Row],[Joining_Date]],TODAY())</calculatedColumnFormula>
    </tableColumn>
    <tableColumn id="32" xr3:uid="{8A37CDF7-EB0B-4417-940E-4258C6F40BAC}" name="Salary_Increment" dataDxfId="72">
      <calculatedColumnFormula>IF(Table134[[#This Row],[Experience]]&gt;3,"ELIGIBLE","NOT ELIGIBLE")</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F0351E4-794D-473D-9678-B7C78392EA28}" name="Table1346" displayName="Table1346" ref="A1:AE21" totalsRowShown="0" headerRowDxfId="71" dataDxfId="70" headerRowBorderDxfId="68" tableBorderDxfId="69" totalsRowBorderDxfId="67">
  <autoFilter ref="A1:AE21" xr:uid="{F965CC29-A78F-48B8-99E1-3720DAB092A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BEF0A02F-D8C8-475E-9970-23924D82B997}" name="Employee_ID" dataDxfId="66"/>
    <tableColumn id="2" xr3:uid="{3B5E5822-94BA-4A95-8721-0530A0C93B03}" name="Employee_Name" dataDxfId="65"/>
    <tableColumn id="3" xr3:uid="{4337BF4B-290D-4FA6-ADED-B27BD27D58DD}" name="Gender" dataDxfId="64"/>
    <tableColumn id="4" xr3:uid="{3E7267D4-272C-4A55-849B-A4498799F854}" name="Age" dataDxfId="63"/>
    <tableColumn id="5" xr3:uid="{60134F12-C024-46A7-B798-2C52CA068525}" name="Joining_Date" dataDxfId="62"/>
    <tableColumn id="6" xr3:uid="{B05774EB-D092-4096-8E72-CE88663E2854}" name="Managers_Names" dataDxfId="61"/>
    <tableColumn id="7" xr3:uid="{935BCAAD-2F9B-4B1A-A704-B8A06082F1F8}" name="Performance_Rating" dataDxfId="60"/>
    <tableColumn id="8" xr3:uid="{F1BF7FE7-C2F1-4A54-B59D-DCF3AF6FF974}" name="Leave_Taken" dataDxfId="59"/>
    <tableColumn id="9" xr3:uid="{10324479-FCB2-4CFC-8B8E-755278EB0499}" name="City" dataDxfId="58"/>
    <tableColumn id="10" xr3:uid="{71D28E8B-EDFD-49CD-8F4F-24FF2249E649}" name="Employment_Status" dataDxfId="57"/>
    <tableColumn id="11" xr3:uid="{73B5466A-10FB-4A4D-80E5-E6A6FBEE6104}" name="Marital_Status" dataDxfId="56"/>
    <tableColumn id="12" xr3:uid="{FD6126F1-4EB9-4AC1-8943-37AEFDB38872}" name="Work_mode" dataDxfId="55"/>
    <tableColumn id="13" xr3:uid="{4D7ED153-D813-4FEE-A56C-9D55AB2F28C7}" name="Education" dataDxfId="54"/>
    <tableColumn id="14" xr3:uid="{3A8B289F-7C4C-4222-83A5-31A7EDD52F16}" name="Job_Location" dataDxfId="53"/>
    <tableColumn id="15" xr3:uid="{1212ED09-4928-4666-8B7E-F93A10F04970}" name="Date_of_birth" dataDxfId="52"/>
    <tableColumn id="16" xr3:uid="{3160D0B1-DCC5-42AA-8B79-5E48DCC058FF}" name="BLood_Group" dataDxfId="51"/>
    <tableColumn id="17" xr3:uid="{62FBC94D-E5E2-4876-9F96-83016FA4FD31}" name="Email_ID" dataDxfId="50" dataCellStyle="Hyperlink"/>
    <tableColumn id="18" xr3:uid="{47B47D9E-9AC5-456F-85EF-3D27DD6BBD7D}" name="Phone_Number" dataDxfId="49"/>
    <tableColumn id="19" xr3:uid="{233CB7DB-6C09-4B0A-AFC9-E7B88043D2A9}" name="University" dataDxfId="48"/>
    <tableColumn id="20" xr3:uid="{00BD85AC-C89F-41C8-A27B-1F1A7F9A9649}" name="Employee_type" dataDxfId="47"/>
    <tableColumn id="21" xr3:uid="{D3280736-07DC-47B6-A7AA-0F9510B9388D}" name="Employee_category" dataDxfId="46"/>
    <tableColumn id="22" xr3:uid="{DE1AB0A4-95F4-43E5-98FA-B421726BD978}" name="Basis_salary" dataDxfId="45"/>
    <tableColumn id="23" xr3:uid="{F89046EC-C238-4565-919B-306F95952379}" name="Transport_Allowance" dataDxfId="44"/>
    <tableColumn id="24" xr3:uid="{654D59D0-A947-4A5C-8DCB-10A813022CD3}" name="Medical_Allowance" dataDxfId="43"/>
    <tableColumn id="25" xr3:uid="{17BEC66B-FF72-4B2C-8B50-B0806BBFB16D}" name="Bonus" dataDxfId="42"/>
    <tableColumn id="26" xr3:uid="{87307140-A861-4D56-B98B-B0AEDC206AAA}" name="HRA (House_Rent_Allowance)" dataDxfId="41"/>
    <tableColumn id="27" xr3:uid="{3F493E9B-9C0E-4606-A294-777B0D917ACA}" name="Net_Salary" dataDxfId="40">
      <calculatedColumnFormula>SUM(V2,W2,X2,Y2,Z2)</calculatedColumnFormula>
    </tableColumn>
    <tableColumn id="28" xr3:uid="{8E6CBE9F-1ADD-431F-97BB-ADF9AAE71564}" name="Annual_Salary" dataDxfId="39">
      <calculatedColumnFormula>AA2*12</calculatedColumnFormula>
    </tableColumn>
    <tableColumn id="29" xr3:uid="{DD4E4616-0F38-48CB-B5BD-6BADE723274C}" name="Pomotion_Eligibilty" dataDxfId="38">
      <calculatedColumnFormula>IF(Table1346[[#This Row],[Performance_Rating]]&gt;5,"YES","NO")</calculatedColumnFormula>
    </tableColumn>
    <tableColumn id="30" xr3:uid="{376FCA04-F14E-4521-BA07-AAD98453C202}" name="Experience" dataDxfId="37">
      <calculatedColumnFormula>YEARFRAC(Table1346[[#This Row],[Joining_Date]],TODAY())</calculatedColumnFormula>
    </tableColumn>
    <tableColumn id="32" xr3:uid="{4339A051-5DD8-4404-9005-14EAD6B0BB53}" name="Salary_Increment" dataDxfId="36">
      <calculatedColumnFormula>IF(Table1346[[#This Row],[Experience]]&gt;3,"ELIGIBLE","NOT ELIGIBLE")</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BABA8C4-DF1D-4CAA-A68B-2075E0D1C573}" name="Table13465" displayName="Table13465" ref="A1:AE21" totalsRowShown="0" headerRowDxfId="35" dataDxfId="34" headerRowBorderDxfId="32" tableBorderDxfId="33" totalsRowBorderDxfId="31">
  <autoFilter ref="A1:AE21" xr:uid="{F965CC29-A78F-48B8-99E1-3720DAB092A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7EC91739-CC1A-4466-BB1A-EEC0CBC9B87A}" name="Employee_ID" dataDxfId="30"/>
    <tableColumn id="2" xr3:uid="{1CB6EE5A-A3E9-4A17-8DBD-068569B0B48E}" name="Employee_Name" dataDxfId="29"/>
    <tableColumn id="3" xr3:uid="{DE027F37-45C2-4C0D-8074-B7172920A3BC}" name="Gender" dataDxfId="28"/>
    <tableColumn id="4" xr3:uid="{9DF8DE9D-46B4-43AE-9F8B-68A063324375}" name="Age" dataDxfId="27"/>
    <tableColumn id="5" xr3:uid="{FD56847B-E2AA-4149-9E0B-3C615DB2957F}" name="Joining_Date" dataDxfId="26"/>
    <tableColumn id="6" xr3:uid="{097A59D5-ED60-47A3-A63D-36FDF3C9FADD}" name="Managers_Names" dataDxfId="25"/>
    <tableColumn id="7" xr3:uid="{E34F9838-5F33-45BF-B3D2-D0500BE19337}" name="Performance_Rating" dataDxfId="24"/>
    <tableColumn id="8" xr3:uid="{467C1471-4226-4092-8BCB-FCBD3A830614}" name="Leave_Taken" dataDxfId="23"/>
    <tableColumn id="9" xr3:uid="{1561A805-C1FB-45AD-B8F2-4171BBE955B1}" name="City" dataDxfId="22"/>
    <tableColumn id="10" xr3:uid="{859A8D07-8585-4190-B313-45F6CF47B1B0}" name="Employment_Status" dataDxfId="21"/>
    <tableColumn id="11" xr3:uid="{5DFAC3BF-BD38-46E5-B805-9A2EDB4FDA82}" name="Marital_Status" dataDxfId="20"/>
    <tableColumn id="12" xr3:uid="{CC6619FB-8659-4D9D-A2D6-3F9A25317AB8}" name="Work_mode" dataDxfId="19"/>
    <tableColumn id="13" xr3:uid="{C67258B2-9185-4F55-9793-15A166837608}" name="Education" dataDxfId="18"/>
    <tableColumn id="14" xr3:uid="{90973C6D-28B3-4DD3-A241-D39BEED9682C}" name="Job_Location" dataDxfId="17"/>
    <tableColumn id="15" xr3:uid="{E76ECDAC-F826-4CF7-BCFD-72046E771832}" name="Date_of_birth" dataDxfId="16"/>
    <tableColumn id="16" xr3:uid="{B128B0AB-E208-471F-8DBE-D803AD1F8DFF}" name="BLood_Group" dataDxfId="15"/>
    <tableColumn id="17" xr3:uid="{8B01FB05-86EB-4A6C-A63B-DFF993A470D1}" name="Email_ID" dataDxfId="14" dataCellStyle="Hyperlink"/>
    <tableColumn id="18" xr3:uid="{B1B7BA6D-12AB-4532-9796-66332B09F587}" name="Phone_Number" dataDxfId="13"/>
    <tableColumn id="19" xr3:uid="{591A5525-04CF-45D2-B4C8-6E73C44382C7}" name="University" dataDxfId="12"/>
    <tableColumn id="20" xr3:uid="{3A8D63CB-05FA-4D34-AAC5-B6BA7E54604D}" name="Employee_type" dataDxfId="11"/>
    <tableColumn id="21" xr3:uid="{78F016F1-FF5E-48E9-859F-DBDE95636BC8}" name="Employee_category" dataDxfId="10"/>
    <tableColumn id="22" xr3:uid="{22A77B04-60BE-4DFB-821F-8218DC3D803F}" name="Basis_salary" dataDxfId="9"/>
    <tableColumn id="23" xr3:uid="{E88464BE-275C-40D1-ABF8-1A4718F7A106}" name="Transport_Allowance" dataDxfId="8"/>
    <tableColumn id="24" xr3:uid="{F2B3C899-3D8B-47C7-9F19-E2F310A428E1}" name="Medical_Allowance" dataDxfId="7"/>
    <tableColumn id="25" xr3:uid="{DFC0A8FC-A3FD-4D03-9D0A-279A3BB4C77A}" name="Bonus" dataDxfId="6"/>
    <tableColumn id="26" xr3:uid="{B5C8A956-E2B5-491C-B0A1-EA78AD8463EA}" name="HRA (House_Rent_Allowance)" dataDxfId="5"/>
    <tableColumn id="27" xr3:uid="{56A13312-0FA9-4311-97BE-AA06D5B33B65}" name="Net_Salary" dataDxfId="4">
      <calculatedColumnFormula>SUM(V2,W2,X2,Y2,Z2)</calculatedColumnFormula>
    </tableColumn>
    <tableColumn id="28" xr3:uid="{A9E4C3ED-F240-445C-B734-A4D4C982B276}" name="Annual_Salary" dataDxfId="3">
      <calculatedColumnFormula>AA2*12</calculatedColumnFormula>
    </tableColumn>
    <tableColumn id="29" xr3:uid="{C6974F1A-9DBA-4D4D-AA70-BAD6ED46E6A7}" name="Pomotion_Eligibilty" dataDxfId="2">
      <calculatedColumnFormula>IF(Table13465[[#This Row],[Performance_Rating]]&gt;5,"YES","NO")</calculatedColumnFormula>
    </tableColumn>
    <tableColumn id="30" xr3:uid="{F42014D6-3329-496D-9DB6-20960DE1EAB5}" name="Experience" dataDxfId="1">
      <calculatedColumnFormula>YEARFRAC(Table13465[[#This Row],[Joining_Date]],TODAY())</calculatedColumnFormula>
    </tableColumn>
    <tableColumn id="32" xr3:uid="{AB0CD2CF-0801-4EB8-AAC1-D41B60C54588}" name="Salary_Increment" dataDxfId="0">
      <calculatedColumnFormula>IF(Table13465[[#This Row],[Experience]]&gt;3,"ELIGIBLE","NOT ELIGIBLE")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E53223D-1671-4781-9C13-136B92188586}">
  <we:reference id="WA200005502" version="1.0.0.13" store="en-US" storeType="omex"/>
  <we:alternateReferences>
    <we:reference id="WA200005502" version="1.0.0.13" store="en-US" storeType="omex"/>
  </we:alternateReferences>
  <we:properties>
    <we:property name="docId" value="&quot;7DXmqyZJUSiYkRIYpTjJG&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8" Type="http://schemas.openxmlformats.org/officeDocument/2006/relationships/hyperlink" Target="mailto:aditya_mehta2012@gmail.com" TargetMode="External"/><Relationship Id="rId13" Type="http://schemas.openxmlformats.org/officeDocument/2006/relationships/hyperlink" Target="mailto:himanshi_khurana2016@gmail.com" TargetMode="External"/><Relationship Id="rId18" Type="http://schemas.openxmlformats.org/officeDocument/2006/relationships/hyperlink" Target="mailto:preeti_zinta2009@gmail.com" TargetMode="External"/><Relationship Id="rId3" Type="http://schemas.openxmlformats.org/officeDocument/2006/relationships/hyperlink" Target="mailto:nimrat_khaira2011@gmial.com" TargetMode="External"/><Relationship Id="rId7" Type="http://schemas.openxmlformats.org/officeDocument/2006/relationships/hyperlink" Target="mailto:neeru_bajwa2011@gmail.com" TargetMode="External"/><Relationship Id="rId12" Type="http://schemas.openxmlformats.org/officeDocument/2006/relationships/hyperlink" Target="mailto:vikram_desai2012@gmail.com" TargetMode="External"/><Relationship Id="rId17" Type="http://schemas.openxmlformats.org/officeDocument/2006/relationships/hyperlink" Target="mailto:prem_dhillon2004@gmail.com" TargetMode="External"/><Relationship Id="rId2" Type="http://schemas.openxmlformats.org/officeDocument/2006/relationships/hyperlink" Target="mailto:aarav_sharma2012@gmail.com" TargetMode="External"/><Relationship Id="rId16" Type="http://schemas.openxmlformats.org/officeDocument/2006/relationships/hyperlink" Target="mailto:neha_joshi2013@gmail.com" TargetMode="External"/><Relationship Id="rId20" Type="http://schemas.openxmlformats.org/officeDocument/2006/relationships/hyperlink" Target="mailto:karan_singh2002@gmail.com" TargetMode="External"/><Relationship Id="rId1" Type="http://schemas.openxmlformats.org/officeDocument/2006/relationships/hyperlink" Target="mailto:chirag_singh2007@gmail.com" TargetMode="External"/><Relationship Id="rId6" Type="http://schemas.openxmlformats.org/officeDocument/2006/relationships/hyperlink" Target="mailto:priya_verma2009@gmail.com" TargetMode="External"/><Relationship Id="rId11" Type="http://schemas.openxmlformats.org/officeDocument/2006/relationships/hyperlink" Target="mailto:ananya_roy2009@gmail.com" TargetMode="External"/><Relationship Id="rId5" Type="http://schemas.openxmlformats.org/officeDocument/2006/relationships/hyperlink" Target="mailto:sneha_kapoor2018@gmail.com" TargetMode="External"/><Relationship Id="rId15" Type="http://schemas.openxmlformats.org/officeDocument/2006/relationships/hyperlink" Target="mailto:meera_iyer2011@gmail.com" TargetMode="External"/><Relationship Id="rId10" Type="http://schemas.openxmlformats.org/officeDocument/2006/relationships/hyperlink" Target="mailto:rahul_gupta2008@gmail.com" TargetMode="External"/><Relationship Id="rId19" Type="http://schemas.openxmlformats.org/officeDocument/2006/relationships/hyperlink" Target="mailto:pooja_sharma2011@gmail.com" TargetMode="External"/><Relationship Id="rId4" Type="http://schemas.openxmlformats.org/officeDocument/2006/relationships/hyperlink" Target="mailto:rohan_patel2004@gmail.com" TargetMode="External"/><Relationship Id="rId9" Type="http://schemas.openxmlformats.org/officeDocument/2006/relationships/hyperlink" Target="mailto:kavya_nair2014@gmail.com" TargetMode="External"/><Relationship Id="rId14" Type="http://schemas.openxmlformats.org/officeDocument/2006/relationships/hyperlink" Target="mailto:arjun_rao2018@gmail.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aditya_mehta2012@gmail.com" TargetMode="External"/><Relationship Id="rId13" Type="http://schemas.openxmlformats.org/officeDocument/2006/relationships/hyperlink" Target="mailto:himanshi_khurana2016@gmail.com" TargetMode="External"/><Relationship Id="rId18" Type="http://schemas.openxmlformats.org/officeDocument/2006/relationships/hyperlink" Target="mailto:preeti_zinta2009@gmail.com" TargetMode="External"/><Relationship Id="rId3" Type="http://schemas.openxmlformats.org/officeDocument/2006/relationships/hyperlink" Target="mailto:nimrat_khaira2011@gmial.com" TargetMode="External"/><Relationship Id="rId7" Type="http://schemas.openxmlformats.org/officeDocument/2006/relationships/hyperlink" Target="mailto:neeru_bajwa2011@gmail.com" TargetMode="External"/><Relationship Id="rId12" Type="http://schemas.openxmlformats.org/officeDocument/2006/relationships/hyperlink" Target="mailto:vikram_desai2012@gmail.com" TargetMode="External"/><Relationship Id="rId17" Type="http://schemas.openxmlformats.org/officeDocument/2006/relationships/hyperlink" Target="mailto:prem_dhillon2004@gmail.com" TargetMode="External"/><Relationship Id="rId2" Type="http://schemas.openxmlformats.org/officeDocument/2006/relationships/hyperlink" Target="mailto:aarav_sharma2012@gmail.com" TargetMode="External"/><Relationship Id="rId16" Type="http://schemas.openxmlformats.org/officeDocument/2006/relationships/hyperlink" Target="mailto:neha_joshi2013@gmail.com" TargetMode="External"/><Relationship Id="rId20" Type="http://schemas.openxmlformats.org/officeDocument/2006/relationships/hyperlink" Target="mailto:karan_singh2002@gmail.com" TargetMode="External"/><Relationship Id="rId1" Type="http://schemas.openxmlformats.org/officeDocument/2006/relationships/hyperlink" Target="mailto:chirag_singh2007@gmail.com" TargetMode="External"/><Relationship Id="rId6" Type="http://schemas.openxmlformats.org/officeDocument/2006/relationships/hyperlink" Target="mailto:priya_verma2009@gmail.com" TargetMode="External"/><Relationship Id="rId11" Type="http://schemas.openxmlformats.org/officeDocument/2006/relationships/hyperlink" Target="mailto:ananya_roy2009@gmail.com" TargetMode="External"/><Relationship Id="rId5" Type="http://schemas.openxmlformats.org/officeDocument/2006/relationships/hyperlink" Target="mailto:sneha_kapoor2018@gmail.com" TargetMode="External"/><Relationship Id="rId15" Type="http://schemas.openxmlformats.org/officeDocument/2006/relationships/hyperlink" Target="mailto:meera_iyer2011@gmail.com" TargetMode="External"/><Relationship Id="rId10" Type="http://schemas.openxmlformats.org/officeDocument/2006/relationships/hyperlink" Target="mailto:rahul_gupta2008@gmail.com" TargetMode="External"/><Relationship Id="rId19" Type="http://schemas.openxmlformats.org/officeDocument/2006/relationships/hyperlink" Target="mailto:pooja_sharma2011@gmail.com" TargetMode="External"/><Relationship Id="rId4" Type="http://schemas.openxmlformats.org/officeDocument/2006/relationships/hyperlink" Target="mailto:rohan_patel2004@gmail.com" TargetMode="External"/><Relationship Id="rId9" Type="http://schemas.openxmlformats.org/officeDocument/2006/relationships/hyperlink" Target="mailto:kavya_nair2014@gmail.com" TargetMode="External"/><Relationship Id="rId14" Type="http://schemas.openxmlformats.org/officeDocument/2006/relationships/hyperlink" Target="mailto:arjun_rao2018@gmail.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aditya_mehta2012@gmail.com" TargetMode="External"/><Relationship Id="rId13" Type="http://schemas.openxmlformats.org/officeDocument/2006/relationships/hyperlink" Target="mailto:himanshi_khurana2016@gmail.com" TargetMode="External"/><Relationship Id="rId18" Type="http://schemas.openxmlformats.org/officeDocument/2006/relationships/hyperlink" Target="mailto:preeti_zinta2009@gmail.com" TargetMode="External"/><Relationship Id="rId3" Type="http://schemas.openxmlformats.org/officeDocument/2006/relationships/hyperlink" Target="mailto:nimrat_khaira2011@gmial.com" TargetMode="External"/><Relationship Id="rId21" Type="http://schemas.openxmlformats.org/officeDocument/2006/relationships/table" Target="../tables/table1.xml"/><Relationship Id="rId7" Type="http://schemas.openxmlformats.org/officeDocument/2006/relationships/hyperlink" Target="mailto:neeru_bajwa2011@gmail.com" TargetMode="External"/><Relationship Id="rId12" Type="http://schemas.openxmlformats.org/officeDocument/2006/relationships/hyperlink" Target="mailto:vikram_desai2012@gmail.com" TargetMode="External"/><Relationship Id="rId17" Type="http://schemas.openxmlformats.org/officeDocument/2006/relationships/hyperlink" Target="mailto:prem_dhillon2004@gmail.com" TargetMode="External"/><Relationship Id="rId2" Type="http://schemas.openxmlformats.org/officeDocument/2006/relationships/hyperlink" Target="mailto:aarav_sharma2012@gmail.com" TargetMode="External"/><Relationship Id="rId16" Type="http://schemas.openxmlformats.org/officeDocument/2006/relationships/hyperlink" Target="mailto:neha_joshi2013@gmail.com" TargetMode="External"/><Relationship Id="rId20" Type="http://schemas.openxmlformats.org/officeDocument/2006/relationships/hyperlink" Target="mailto:karan_singh2002@gmail.com" TargetMode="External"/><Relationship Id="rId1" Type="http://schemas.openxmlformats.org/officeDocument/2006/relationships/hyperlink" Target="mailto:chirag_singh2007@gmail.com" TargetMode="External"/><Relationship Id="rId6" Type="http://schemas.openxmlformats.org/officeDocument/2006/relationships/hyperlink" Target="mailto:priya_verma2009@gmail.com" TargetMode="External"/><Relationship Id="rId11" Type="http://schemas.openxmlformats.org/officeDocument/2006/relationships/hyperlink" Target="mailto:ananya_roy2009@gmail.com" TargetMode="External"/><Relationship Id="rId5" Type="http://schemas.openxmlformats.org/officeDocument/2006/relationships/hyperlink" Target="mailto:sneha_kapoor2018@gmail.com" TargetMode="External"/><Relationship Id="rId15" Type="http://schemas.openxmlformats.org/officeDocument/2006/relationships/hyperlink" Target="mailto:meera_iyer2011@gmail.com" TargetMode="External"/><Relationship Id="rId10" Type="http://schemas.openxmlformats.org/officeDocument/2006/relationships/hyperlink" Target="mailto:rahul_gupta2008@gmail.com" TargetMode="External"/><Relationship Id="rId19" Type="http://schemas.openxmlformats.org/officeDocument/2006/relationships/hyperlink" Target="mailto:pooja_sharma2011@gmail.com" TargetMode="External"/><Relationship Id="rId4" Type="http://schemas.openxmlformats.org/officeDocument/2006/relationships/hyperlink" Target="mailto:rohan_patel2004@gmail.com" TargetMode="External"/><Relationship Id="rId9" Type="http://schemas.openxmlformats.org/officeDocument/2006/relationships/hyperlink" Target="mailto:kavya_nair2014@gmail.com" TargetMode="External"/><Relationship Id="rId14" Type="http://schemas.openxmlformats.org/officeDocument/2006/relationships/hyperlink" Target="mailto:arjun_rao2018@gmail.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aditya_mehta2012@gmail.com" TargetMode="External"/><Relationship Id="rId13" Type="http://schemas.openxmlformats.org/officeDocument/2006/relationships/hyperlink" Target="mailto:himanshi_khurana2016@gmail.com" TargetMode="External"/><Relationship Id="rId18" Type="http://schemas.openxmlformats.org/officeDocument/2006/relationships/hyperlink" Target="mailto:preeti_zinta2009@gmail.com" TargetMode="External"/><Relationship Id="rId3" Type="http://schemas.openxmlformats.org/officeDocument/2006/relationships/hyperlink" Target="mailto:nimrat_khaira2011@gmial.com" TargetMode="External"/><Relationship Id="rId21" Type="http://schemas.openxmlformats.org/officeDocument/2006/relationships/table" Target="../tables/table2.xml"/><Relationship Id="rId7" Type="http://schemas.openxmlformats.org/officeDocument/2006/relationships/hyperlink" Target="mailto:neeru_bajwa2011@gmail.com" TargetMode="External"/><Relationship Id="rId12" Type="http://schemas.openxmlformats.org/officeDocument/2006/relationships/hyperlink" Target="mailto:vikram_desai2012@gmail.com" TargetMode="External"/><Relationship Id="rId17" Type="http://schemas.openxmlformats.org/officeDocument/2006/relationships/hyperlink" Target="mailto:prem_dhillon2004@gmail.com" TargetMode="External"/><Relationship Id="rId2" Type="http://schemas.openxmlformats.org/officeDocument/2006/relationships/hyperlink" Target="mailto:aarav_sharma2012@gmail.com" TargetMode="External"/><Relationship Id="rId16" Type="http://schemas.openxmlformats.org/officeDocument/2006/relationships/hyperlink" Target="mailto:neha_joshi2013@gmail.com" TargetMode="External"/><Relationship Id="rId20" Type="http://schemas.openxmlformats.org/officeDocument/2006/relationships/hyperlink" Target="mailto:karan_singh2002@gmail.com" TargetMode="External"/><Relationship Id="rId1" Type="http://schemas.openxmlformats.org/officeDocument/2006/relationships/hyperlink" Target="mailto:chirag_singh2007@gmail.com" TargetMode="External"/><Relationship Id="rId6" Type="http://schemas.openxmlformats.org/officeDocument/2006/relationships/hyperlink" Target="mailto:priya_verma2009@gmail.com" TargetMode="External"/><Relationship Id="rId11" Type="http://schemas.openxmlformats.org/officeDocument/2006/relationships/hyperlink" Target="mailto:ananya_roy2009@gmail.com" TargetMode="External"/><Relationship Id="rId5" Type="http://schemas.openxmlformats.org/officeDocument/2006/relationships/hyperlink" Target="mailto:sneha_kapoor2018@gmail.com" TargetMode="External"/><Relationship Id="rId15" Type="http://schemas.openxmlformats.org/officeDocument/2006/relationships/hyperlink" Target="mailto:meera_iyer2011@gmail.com" TargetMode="External"/><Relationship Id="rId10" Type="http://schemas.openxmlformats.org/officeDocument/2006/relationships/hyperlink" Target="mailto:rahul_gupta2008@gmail.com" TargetMode="External"/><Relationship Id="rId19" Type="http://schemas.openxmlformats.org/officeDocument/2006/relationships/hyperlink" Target="mailto:pooja_sharma2011@gmail.com" TargetMode="External"/><Relationship Id="rId4" Type="http://schemas.openxmlformats.org/officeDocument/2006/relationships/hyperlink" Target="mailto:rohan_patel2004@gmail.com" TargetMode="External"/><Relationship Id="rId9" Type="http://schemas.openxmlformats.org/officeDocument/2006/relationships/hyperlink" Target="mailto:kavya_nair2014@gmail.com" TargetMode="External"/><Relationship Id="rId14" Type="http://schemas.openxmlformats.org/officeDocument/2006/relationships/hyperlink" Target="mailto:arjun_rao2018@gmail.co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aditya_mehta2012@gmail.com" TargetMode="External"/><Relationship Id="rId13" Type="http://schemas.openxmlformats.org/officeDocument/2006/relationships/hyperlink" Target="mailto:himanshi_khurana2016@gmail.com" TargetMode="External"/><Relationship Id="rId18" Type="http://schemas.openxmlformats.org/officeDocument/2006/relationships/hyperlink" Target="mailto:preeti_zinta2009@gmail.com" TargetMode="External"/><Relationship Id="rId3" Type="http://schemas.openxmlformats.org/officeDocument/2006/relationships/hyperlink" Target="mailto:nimrat_khaira2011@gmial.com" TargetMode="External"/><Relationship Id="rId21" Type="http://schemas.openxmlformats.org/officeDocument/2006/relationships/table" Target="../tables/table3.xml"/><Relationship Id="rId7" Type="http://schemas.openxmlformats.org/officeDocument/2006/relationships/hyperlink" Target="mailto:neeru_bajwa2011@gmail.com" TargetMode="External"/><Relationship Id="rId12" Type="http://schemas.openxmlformats.org/officeDocument/2006/relationships/hyperlink" Target="mailto:vikram_desai2012@gmail.com" TargetMode="External"/><Relationship Id="rId17" Type="http://schemas.openxmlformats.org/officeDocument/2006/relationships/hyperlink" Target="mailto:prem_dhillon2004@gmail.com" TargetMode="External"/><Relationship Id="rId2" Type="http://schemas.openxmlformats.org/officeDocument/2006/relationships/hyperlink" Target="mailto:aarav_sharma2012@gmail.com" TargetMode="External"/><Relationship Id="rId16" Type="http://schemas.openxmlformats.org/officeDocument/2006/relationships/hyperlink" Target="mailto:neha_joshi2013@gmail.com" TargetMode="External"/><Relationship Id="rId20" Type="http://schemas.openxmlformats.org/officeDocument/2006/relationships/hyperlink" Target="mailto:karan_singh2002@gmail.com" TargetMode="External"/><Relationship Id="rId1" Type="http://schemas.openxmlformats.org/officeDocument/2006/relationships/hyperlink" Target="mailto:chirag_singh2007@gmail.com" TargetMode="External"/><Relationship Id="rId6" Type="http://schemas.openxmlformats.org/officeDocument/2006/relationships/hyperlink" Target="mailto:priya_verma2009@gmail.com" TargetMode="External"/><Relationship Id="rId11" Type="http://schemas.openxmlformats.org/officeDocument/2006/relationships/hyperlink" Target="mailto:ananya_roy2009@gmail.com" TargetMode="External"/><Relationship Id="rId5" Type="http://schemas.openxmlformats.org/officeDocument/2006/relationships/hyperlink" Target="mailto:sneha_kapoor2018@gmail.com" TargetMode="External"/><Relationship Id="rId15" Type="http://schemas.openxmlformats.org/officeDocument/2006/relationships/hyperlink" Target="mailto:meera_iyer2011@gmail.com" TargetMode="External"/><Relationship Id="rId10" Type="http://schemas.openxmlformats.org/officeDocument/2006/relationships/hyperlink" Target="mailto:rahul_gupta2008@gmail.com" TargetMode="External"/><Relationship Id="rId19" Type="http://schemas.openxmlformats.org/officeDocument/2006/relationships/hyperlink" Target="mailto:pooja_sharma2011@gmail.com" TargetMode="External"/><Relationship Id="rId4" Type="http://schemas.openxmlformats.org/officeDocument/2006/relationships/hyperlink" Target="mailto:rohan_patel2004@gmail.com" TargetMode="External"/><Relationship Id="rId9" Type="http://schemas.openxmlformats.org/officeDocument/2006/relationships/hyperlink" Target="mailto:kavya_nair2014@gmail.com" TargetMode="External"/><Relationship Id="rId14" Type="http://schemas.openxmlformats.org/officeDocument/2006/relationships/hyperlink" Target="mailto:arjun_rao2018@gmail.co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aditya_mehta2012@gmail.com" TargetMode="External"/><Relationship Id="rId13" Type="http://schemas.openxmlformats.org/officeDocument/2006/relationships/hyperlink" Target="mailto:himanshi_khurana2016@gmail.com" TargetMode="External"/><Relationship Id="rId18" Type="http://schemas.openxmlformats.org/officeDocument/2006/relationships/hyperlink" Target="mailto:preeti_zinta2009@gmail.com" TargetMode="External"/><Relationship Id="rId3" Type="http://schemas.openxmlformats.org/officeDocument/2006/relationships/hyperlink" Target="mailto:nimrat_khaira2011@gmial.com" TargetMode="External"/><Relationship Id="rId21" Type="http://schemas.openxmlformats.org/officeDocument/2006/relationships/table" Target="../tables/table4.xml"/><Relationship Id="rId7" Type="http://schemas.openxmlformats.org/officeDocument/2006/relationships/hyperlink" Target="mailto:neeru_bajwa2011@gmail.com" TargetMode="External"/><Relationship Id="rId12" Type="http://schemas.openxmlformats.org/officeDocument/2006/relationships/hyperlink" Target="mailto:vikram_desai2012@gmail.com" TargetMode="External"/><Relationship Id="rId17" Type="http://schemas.openxmlformats.org/officeDocument/2006/relationships/hyperlink" Target="mailto:prem_dhillon2004@gmail.com" TargetMode="External"/><Relationship Id="rId2" Type="http://schemas.openxmlformats.org/officeDocument/2006/relationships/hyperlink" Target="mailto:aarav_sharma2012@gmail.com" TargetMode="External"/><Relationship Id="rId16" Type="http://schemas.openxmlformats.org/officeDocument/2006/relationships/hyperlink" Target="mailto:neha_joshi2013@gmail.com" TargetMode="External"/><Relationship Id="rId20" Type="http://schemas.openxmlformats.org/officeDocument/2006/relationships/hyperlink" Target="mailto:karan_singh2002@gmail.com" TargetMode="External"/><Relationship Id="rId1" Type="http://schemas.openxmlformats.org/officeDocument/2006/relationships/hyperlink" Target="mailto:chirag_singh2007@gmail.com" TargetMode="External"/><Relationship Id="rId6" Type="http://schemas.openxmlformats.org/officeDocument/2006/relationships/hyperlink" Target="mailto:priya_verma2009@gmail.com" TargetMode="External"/><Relationship Id="rId11" Type="http://schemas.openxmlformats.org/officeDocument/2006/relationships/hyperlink" Target="mailto:ananya_roy2009@gmail.com" TargetMode="External"/><Relationship Id="rId5" Type="http://schemas.openxmlformats.org/officeDocument/2006/relationships/hyperlink" Target="mailto:sneha_kapoor2018@gmail.com" TargetMode="External"/><Relationship Id="rId15" Type="http://schemas.openxmlformats.org/officeDocument/2006/relationships/hyperlink" Target="mailto:meera_iyer2011@gmail.com" TargetMode="External"/><Relationship Id="rId10" Type="http://schemas.openxmlformats.org/officeDocument/2006/relationships/hyperlink" Target="mailto:rahul_gupta2008@gmail.com" TargetMode="External"/><Relationship Id="rId19" Type="http://schemas.openxmlformats.org/officeDocument/2006/relationships/hyperlink" Target="mailto:pooja_sharma2011@gmail.com" TargetMode="External"/><Relationship Id="rId4" Type="http://schemas.openxmlformats.org/officeDocument/2006/relationships/hyperlink" Target="mailto:rohan_patel2004@gmail.com" TargetMode="External"/><Relationship Id="rId9" Type="http://schemas.openxmlformats.org/officeDocument/2006/relationships/hyperlink" Target="mailto:kavya_nair2014@gmail.com" TargetMode="External"/><Relationship Id="rId14" Type="http://schemas.openxmlformats.org/officeDocument/2006/relationships/hyperlink" Target="mailto:arjun_rao2018@gmail.com" TargetMode="Externa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8" Type="http://schemas.openxmlformats.org/officeDocument/2006/relationships/hyperlink" Target="mailto:himanshi_khurana2016@gmail.com" TargetMode="External"/><Relationship Id="rId13" Type="http://schemas.openxmlformats.org/officeDocument/2006/relationships/hyperlink" Target="mailto:aditya_mehta2012@gmail.com" TargetMode="External"/><Relationship Id="rId18" Type="http://schemas.openxmlformats.org/officeDocument/2006/relationships/hyperlink" Target="mailto:nimrat_khaira2011@gmial.com" TargetMode="External"/><Relationship Id="rId3" Type="http://schemas.openxmlformats.org/officeDocument/2006/relationships/hyperlink" Target="mailto:preeti_zinta2009@gmail.com" TargetMode="External"/><Relationship Id="rId21" Type="http://schemas.openxmlformats.org/officeDocument/2006/relationships/drawing" Target="../drawings/drawing2.xml"/><Relationship Id="rId7" Type="http://schemas.openxmlformats.org/officeDocument/2006/relationships/hyperlink" Target="mailto:arjun_rao2018@gmail.com" TargetMode="External"/><Relationship Id="rId12" Type="http://schemas.openxmlformats.org/officeDocument/2006/relationships/hyperlink" Target="mailto:kavya_nair2014@gmail.com" TargetMode="External"/><Relationship Id="rId17" Type="http://schemas.openxmlformats.org/officeDocument/2006/relationships/hyperlink" Target="mailto:rohan_patel2004@gmail.com" TargetMode="External"/><Relationship Id="rId2" Type="http://schemas.openxmlformats.org/officeDocument/2006/relationships/hyperlink" Target="mailto:pooja_sharma2011@gmail.com" TargetMode="External"/><Relationship Id="rId16" Type="http://schemas.openxmlformats.org/officeDocument/2006/relationships/hyperlink" Target="mailto:sneha_kapoor2018@gmail.com" TargetMode="External"/><Relationship Id="rId20" Type="http://schemas.openxmlformats.org/officeDocument/2006/relationships/hyperlink" Target="mailto:chirag_singh2007@gmail.com" TargetMode="External"/><Relationship Id="rId1" Type="http://schemas.openxmlformats.org/officeDocument/2006/relationships/hyperlink" Target="mailto:karan_singh2002@gmail.com" TargetMode="External"/><Relationship Id="rId6" Type="http://schemas.openxmlformats.org/officeDocument/2006/relationships/hyperlink" Target="mailto:meera_iyer2011@gmail.com" TargetMode="External"/><Relationship Id="rId11" Type="http://schemas.openxmlformats.org/officeDocument/2006/relationships/hyperlink" Target="mailto:rahul_gupta2008@gmail.com" TargetMode="External"/><Relationship Id="rId5" Type="http://schemas.openxmlformats.org/officeDocument/2006/relationships/hyperlink" Target="mailto:neha_joshi2013@gmail.com" TargetMode="External"/><Relationship Id="rId15" Type="http://schemas.openxmlformats.org/officeDocument/2006/relationships/hyperlink" Target="mailto:priya_verma2009@gmail.com" TargetMode="External"/><Relationship Id="rId10" Type="http://schemas.openxmlformats.org/officeDocument/2006/relationships/hyperlink" Target="mailto:ananya_roy2009@gmail.com" TargetMode="External"/><Relationship Id="rId19" Type="http://schemas.openxmlformats.org/officeDocument/2006/relationships/hyperlink" Target="mailto:aarav_sharma2012@gmail.com" TargetMode="External"/><Relationship Id="rId4" Type="http://schemas.openxmlformats.org/officeDocument/2006/relationships/hyperlink" Target="mailto:prem_dhillon2004@gmail.com" TargetMode="External"/><Relationship Id="rId9" Type="http://schemas.openxmlformats.org/officeDocument/2006/relationships/hyperlink" Target="mailto:vikram_desai2012@gmail.com" TargetMode="External"/><Relationship Id="rId14" Type="http://schemas.openxmlformats.org/officeDocument/2006/relationships/hyperlink" Target="mailto:neeru_bajwa2011@gmail.com" TargetMode="External"/><Relationship Id="rId22"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A577-F34F-4D0E-A00D-6C3F9C7AD61E}">
  <dimension ref="A1:AA21"/>
  <sheetViews>
    <sheetView workbookViewId="0">
      <selection activeCell="T25" sqref="T25"/>
    </sheetView>
  </sheetViews>
  <sheetFormatPr defaultRowHeight="15"/>
  <cols>
    <col min="1" max="1" width="12.28515625" bestFit="1" customWidth="1"/>
    <col min="2" max="2" width="18.7109375" bestFit="1" customWidth="1"/>
    <col min="3" max="3" width="17" bestFit="1" customWidth="1"/>
    <col min="4" max="4" width="19.140625" bestFit="1" customWidth="1"/>
    <col min="5" max="5" width="12.42578125" customWidth="1"/>
    <col min="6" max="6" width="7.28515625" customWidth="1"/>
    <col min="7" max="7" width="18.7109375" bestFit="1" customWidth="1"/>
    <col min="8" max="8" width="11.5703125" bestFit="1" customWidth="1"/>
    <col min="9" max="9" width="17.42578125" customWidth="1"/>
    <col min="10" max="10" width="18.5703125" bestFit="1" customWidth="1"/>
    <col min="11" max="11" width="13.5703125" bestFit="1" customWidth="1"/>
    <col min="12" max="12" width="12" bestFit="1" customWidth="1"/>
    <col min="13" max="13" width="11" bestFit="1" customWidth="1"/>
    <col min="14" max="14" width="13.7109375" bestFit="1" customWidth="1"/>
    <col min="15" max="15" width="13.5703125" customWidth="1"/>
    <col min="16" max="16" width="9.42578125" customWidth="1"/>
    <col min="17" max="17" width="13" customWidth="1"/>
    <col min="18" max="18" width="15" bestFit="1" customWidth="1"/>
    <col min="19" max="19" width="10" bestFit="1" customWidth="1"/>
    <col min="20" max="20" width="14.85546875" bestFit="1" customWidth="1"/>
    <col min="21" max="21" width="18.7109375" bestFit="1" customWidth="1"/>
    <col min="22" max="22" width="11.7109375" bestFit="1" customWidth="1"/>
    <col min="23" max="23" width="11" customWidth="1"/>
    <col min="24" max="24" width="18.7109375" customWidth="1"/>
    <col min="25" max="25" width="15.28515625" customWidth="1"/>
    <col min="26" max="26" width="10.140625" customWidth="1"/>
    <col min="27" max="27" width="28" customWidth="1"/>
  </cols>
  <sheetData>
    <row r="1" spans="1:27">
      <c r="A1" s="1" t="s">
        <v>0</v>
      </c>
      <c r="B1" t="s">
        <v>1</v>
      </c>
      <c r="C1" t="s">
        <v>2</v>
      </c>
      <c r="D1" t="s">
        <v>3</v>
      </c>
      <c r="E1" s="1" t="s">
        <v>4</v>
      </c>
      <c r="F1" t="s">
        <v>5</v>
      </c>
      <c r="G1" t="s">
        <v>6</v>
      </c>
      <c r="H1" s="1" t="s">
        <v>7</v>
      </c>
      <c r="I1" s="1" t="s">
        <v>8</v>
      </c>
      <c r="J1" s="1" t="s">
        <v>9</v>
      </c>
      <c r="K1" s="1" t="s">
        <v>10</v>
      </c>
      <c r="L1" s="1" t="s">
        <v>11</v>
      </c>
      <c r="M1" t="s">
        <v>12</v>
      </c>
      <c r="N1" t="s">
        <v>13</v>
      </c>
      <c r="O1" t="s">
        <v>14</v>
      </c>
      <c r="P1" t="s">
        <v>15</v>
      </c>
      <c r="Q1" t="s">
        <v>16</v>
      </c>
      <c r="R1" t="s">
        <v>17</v>
      </c>
      <c r="S1" t="s">
        <v>18</v>
      </c>
      <c r="T1" t="s">
        <v>19</v>
      </c>
      <c r="U1" t="s">
        <v>20</v>
      </c>
      <c r="V1" t="s">
        <v>21</v>
      </c>
      <c r="W1" t="s">
        <v>22</v>
      </c>
      <c r="X1" t="s">
        <v>23</v>
      </c>
      <c r="Y1" t="s">
        <v>24</v>
      </c>
      <c r="Z1" t="s">
        <v>25</v>
      </c>
      <c r="AA1" t="s">
        <v>26</v>
      </c>
    </row>
    <row r="2" spans="1:27">
      <c r="A2" t="s">
        <v>27</v>
      </c>
      <c r="B2" t="s">
        <v>28</v>
      </c>
      <c r="C2" t="s">
        <v>29</v>
      </c>
      <c r="D2" t="s">
        <v>30</v>
      </c>
      <c r="E2" t="s">
        <v>31</v>
      </c>
      <c r="F2" s="2">
        <v>44681</v>
      </c>
      <c r="G2" s="2" t="s">
        <v>32</v>
      </c>
      <c r="H2">
        <v>4</v>
      </c>
      <c r="I2">
        <v>5</v>
      </c>
      <c r="J2" t="e" vm="1">
        <v>#VALUE!</v>
      </c>
      <c r="K2" t="s">
        <v>33</v>
      </c>
      <c r="L2" t="s">
        <v>34</v>
      </c>
      <c r="M2" t="s">
        <v>35</v>
      </c>
      <c r="N2" t="s">
        <v>36</v>
      </c>
      <c r="O2" t="s">
        <v>37</v>
      </c>
      <c r="P2" s="2">
        <v>39270</v>
      </c>
      <c r="Q2" t="s">
        <v>38</v>
      </c>
      <c r="R2" s="3" t="s">
        <v>39</v>
      </c>
      <c r="S2">
        <v>8976543210</v>
      </c>
      <c r="T2" t="s">
        <v>40</v>
      </c>
      <c r="U2" t="s">
        <v>41</v>
      </c>
      <c r="V2" t="s">
        <v>42</v>
      </c>
      <c r="W2">
        <v>28000</v>
      </c>
      <c r="X2">
        <v>2835</v>
      </c>
      <c r="Y2">
        <v>2007</v>
      </c>
      <c r="Z2">
        <v>2185</v>
      </c>
      <c r="AA2">
        <v>12287</v>
      </c>
    </row>
    <row r="3" spans="1:27">
      <c r="A3" t="s">
        <v>43</v>
      </c>
      <c r="B3" s="1" t="s">
        <v>44</v>
      </c>
      <c r="C3" t="s">
        <v>45</v>
      </c>
      <c r="D3" t="s">
        <v>46</v>
      </c>
      <c r="E3" t="s">
        <v>47</v>
      </c>
      <c r="F3" s="2">
        <v>45403</v>
      </c>
      <c r="G3" s="2" t="s">
        <v>48</v>
      </c>
      <c r="H3">
        <v>3</v>
      </c>
      <c r="I3">
        <v>5</v>
      </c>
      <c r="J3" t="e" vm="2">
        <v>#VALUE!</v>
      </c>
      <c r="K3" t="s">
        <v>33</v>
      </c>
      <c r="L3" t="s">
        <v>34</v>
      </c>
      <c r="M3" t="s">
        <v>49</v>
      </c>
      <c r="N3" t="s">
        <v>50</v>
      </c>
      <c r="O3" t="s">
        <v>51</v>
      </c>
      <c r="P3" s="2">
        <v>41114</v>
      </c>
      <c r="Q3" t="s">
        <v>52</v>
      </c>
      <c r="R3" s="3" t="s">
        <v>53</v>
      </c>
      <c r="S3">
        <v>9854362109</v>
      </c>
      <c r="T3" t="s">
        <v>54</v>
      </c>
      <c r="U3" t="s">
        <v>55</v>
      </c>
      <c r="V3" t="s">
        <v>56</v>
      </c>
      <c r="W3">
        <v>33000</v>
      </c>
      <c r="X3">
        <v>3133</v>
      </c>
      <c r="Y3">
        <v>1870</v>
      </c>
      <c r="Z3">
        <v>1802</v>
      </c>
      <c r="AA3">
        <v>9740</v>
      </c>
    </row>
    <row r="4" spans="1:27">
      <c r="A4" t="s">
        <v>57</v>
      </c>
      <c r="B4" t="s">
        <v>58</v>
      </c>
      <c r="C4" t="s">
        <v>59</v>
      </c>
      <c r="D4" t="s">
        <v>60</v>
      </c>
      <c r="E4" t="s">
        <v>61</v>
      </c>
      <c r="F4" s="2">
        <v>45595</v>
      </c>
      <c r="G4" s="2" t="s">
        <v>62</v>
      </c>
      <c r="H4">
        <v>4</v>
      </c>
      <c r="I4">
        <v>8</v>
      </c>
      <c r="J4" t="e" vm="1">
        <v>#VALUE!</v>
      </c>
      <c r="K4" t="s">
        <v>33</v>
      </c>
      <c r="L4" t="s">
        <v>63</v>
      </c>
      <c r="M4" t="s">
        <v>64</v>
      </c>
      <c r="N4" t="s">
        <v>65</v>
      </c>
      <c r="O4" t="s">
        <v>66</v>
      </c>
      <c r="P4" s="2">
        <v>40810</v>
      </c>
      <c r="Q4" t="s">
        <v>67</v>
      </c>
      <c r="R4" s="3" t="s">
        <v>68</v>
      </c>
      <c r="S4">
        <v>9239456120</v>
      </c>
      <c r="T4" t="s">
        <v>69</v>
      </c>
      <c r="U4" t="s">
        <v>70</v>
      </c>
      <c r="V4" t="s">
        <v>42</v>
      </c>
      <c r="W4">
        <v>38000</v>
      </c>
      <c r="X4">
        <v>4320</v>
      </c>
      <c r="Y4">
        <v>2147</v>
      </c>
      <c r="Z4">
        <v>2970</v>
      </c>
      <c r="AA4">
        <v>11982</v>
      </c>
    </row>
    <row r="5" spans="1:27">
      <c r="A5" t="s">
        <v>71</v>
      </c>
      <c r="B5" s="1" t="s">
        <v>72</v>
      </c>
      <c r="C5" t="s">
        <v>73</v>
      </c>
      <c r="D5" t="s">
        <v>74</v>
      </c>
      <c r="E5" t="s">
        <v>75</v>
      </c>
      <c r="F5" s="2">
        <v>45116</v>
      </c>
      <c r="G5" s="2" t="s">
        <v>76</v>
      </c>
      <c r="H5">
        <v>4</v>
      </c>
      <c r="I5">
        <v>5</v>
      </c>
      <c r="J5" t="e" vm="3">
        <v>#VALUE!</v>
      </c>
      <c r="K5" t="s">
        <v>33</v>
      </c>
      <c r="L5" t="s">
        <v>34</v>
      </c>
      <c r="M5" t="s">
        <v>35</v>
      </c>
      <c r="N5" t="s">
        <v>36</v>
      </c>
      <c r="O5" t="s">
        <v>51</v>
      </c>
      <c r="P5" s="2">
        <v>38238</v>
      </c>
      <c r="Q5" t="s">
        <v>77</v>
      </c>
      <c r="R5" s="3" t="s">
        <v>78</v>
      </c>
      <c r="S5">
        <v>8142736904</v>
      </c>
      <c r="T5" t="s">
        <v>40</v>
      </c>
      <c r="U5" t="s">
        <v>41</v>
      </c>
      <c r="V5" t="s">
        <v>56</v>
      </c>
      <c r="W5">
        <v>30000</v>
      </c>
      <c r="X5">
        <v>2656</v>
      </c>
      <c r="Y5">
        <v>1794</v>
      </c>
      <c r="Z5">
        <v>1509</v>
      </c>
      <c r="AA5">
        <v>13491</v>
      </c>
    </row>
    <row r="6" spans="1:27">
      <c r="A6" t="s">
        <v>79</v>
      </c>
      <c r="B6" s="1" t="s">
        <v>80</v>
      </c>
      <c r="C6" t="s">
        <v>81</v>
      </c>
      <c r="D6" t="s">
        <v>82</v>
      </c>
      <c r="E6" t="s">
        <v>83</v>
      </c>
      <c r="F6" s="2">
        <v>45715</v>
      </c>
      <c r="G6" t="s">
        <v>84</v>
      </c>
      <c r="H6">
        <v>5</v>
      </c>
      <c r="I6">
        <v>7</v>
      </c>
      <c r="J6" t="e" vm="4">
        <v>#VALUE!</v>
      </c>
      <c r="K6" t="s">
        <v>33</v>
      </c>
      <c r="L6" t="s">
        <v>63</v>
      </c>
      <c r="M6" t="s">
        <v>49</v>
      </c>
      <c r="N6" t="s">
        <v>50</v>
      </c>
      <c r="O6" t="s">
        <v>37</v>
      </c>
      <c r="P6" s="2">
        <v>43361</v>
      </c>
      <c r="Q6" t="s">
        <v>38</v>
      </c>
      <c r="R6" s="3" t="s">
        <v>85</v>
      </c>
      <c r="S6">
        <v>8956633103</v>
      </c>
      <c r="T6" t="s">
        <v>54</v>
      </c>
      <c r="U6" t="s">
        <v>55</v>
      </c>
      <c r="V6" t="s">
        <v>42</v>
      </c>
      <c r="W6">
        <v>52000</v>
      </c>
      <c r="X6">
        <v>3674</v>
      </c>
      <c r="Y6">
        <v>1800</v>
      </c>
      <c r="Z6">
        <v>1075</v>
      </c>
      <c r="AA6">
        <v>11935</v>
      </c>
    </row>
    <row r="7" spans="1:27">
      <c r="A7" t="s">
        <v>86</v>
      </c>
      <c r="B7" s="1" t="s">
        <v>87</v>
      </c>
      <c r="C7" t="s">
        <v>88</v>
      </c>
      <c r="D7" t="s">
        <v>89</v>
      </c>
      <c r="E7" t="s">
        <v>90</v>
      </c>
      <c r="F7" s="2">
        <v>46156</v>
      </c>
      <c r="G7" s="2" t="s">
        <v>32</v>
      </c>
      <c r="H7">
        <v>4</v>
      </c>
      <c r="I7">
        <v>8</v>
      </c>
      <c r="J7" t="e" vm="5">
        <v>#VALUE!</v>
      </c>
      <c r="K7" t="s">
        <v>33</v>
      </c>
      <c r="L7" t="s">
        <v>34</v>
      </c>
      <c r="M7" t="s">
        <v>64</v>
      </c>
      <c r="N7" t="s">
        <v>65</v>
      </c>
      <c r="O7" t="s">
        <v>66</v>
      </c>
      <c r="P7" s="2">
        <v>39843</v>
      </c>
      <c r="Q7" t="s">
        <v>52</v>
      </c>
      <c r="R7" s="3" t="s">
        <v>91</v>
      </c>
      <c r="S7">
        <v>9175514319</v>
      </c>
      <c r="T7" t="s">
        <v>69</v>
      </c>
      <c r="U7" t="s">
        <v>70</v>
      </c>
      <c r="V7" t="s">
        <v>42</v>
      </c>
      <c r="W7">
        <v>45000</v>
      </c>
      <c r="X7">
        <v>5870</v>
      </c>
      <c r="Y7">
        <v>1875</v>
      </c>
      <c r="Z7">
        <v>1113</v>
      </c>
      <c r="AA7">
        <v>11161</v>
      </c>
    </row>
    <row r="8" spans="1:27">
      <c r="A8" t="s">
        <v>92</v>
      </c>
      <c r="B8" t="s">
        <v>93</v>
      </c>
      <c r="C8" t="s">
        <v>81</v>
      </c>
      <c r="D8" t="s">
        <v>30</v>
      </c>
      <c r="E8" t="s">
        <v>94</v>
      </c>
      <c r="F8" s="2">
        <v>44363</v>
      </c>
      <c r="G8" s="2" t="s">
        <v>48</v>
      </c>
      <c r="H8">
        <v>4</v>
      </c>
      <c r="I8">
        <v>7</v>
      </c>
      <c r="J8" t="e" vm="6">
        <v>#VALUE!</v>
      </c>
      <c r="K8" t="s">
        <v>33</v>
      </c>
      <c r="L8" t="s">
        <v>63</v>
      </c>
      <c r="M8" t="s">
        <v>49</v>
      </c>
      <c r="N8" t="s">
        <v>65</v>
      </c>
      <c r="O8" t="s">
        <v>37</v>
      </c>
      <c r="P8" s="2">
        <v>40675</v>
      </c>
      <c r="Q8" t="s">
        <v>67</v>
      </c>
      <c r="R8" s="3" t="s">
        <v>95</v>
      </c>
      <c r="S8">
        <v>9320792333</v>
      </c>
      <c r="T8" t="s">
        <v>40</v>
      </c>
      <c r="U8" t="s">
        <v>41</v>
      </c>
      <c r="V8" t="s">
        <v>56</v>
      </c>
      <c r="W8">
        <v>25000</v>
      </c>
      <c r="X8">
        <v>4236</v>
      </c>
      <c r="Y8">
        <v>1479</v>
      </c>
      <c r="Z8">
        <v>1260</v>
      </c>
      <c r="AA8">
        <v>15956</v>
      </c>
    </row>
    <row r="9" spans="1:27">
      <c r="A9" t="s">
        <v>96</v>
      </c>
      <c r="B9" s="1" t="s">
        <v>97</v>
      </c>
      <c r="C9" t="s">
        <v>73</v>
      </c>
      <c r="D9" t="s">
        <v>46</v>
      </c>
      <c r="E9" t="s">
        <v>98</v>
      </c>
      <c r="F9" s="2">
        <v>45727</v>
      </c>
      <c r="G9" s="2" t="s">
        <v>62</v>
      </c>
      <c r="H9">
        <v>4</v>
      </c>
      <c r="I9">
        <v>7</v>
      </c>
      <c r="J9" t="e" vm="7">
        <v>#VALUE!</v>
      </c>
      <c r="K9" t="s">
        <v>33</v>
      </c>
      <c r="L9" t="s">
        <v>63</v>
      </c>
      <c r="M9" t="s">
        <v>64</v>
      </c>
      <c r="N9" t="s">
        <v>36</v>
      </c>
      <c r="O9" t="s">
        <v>51</v>
      </c>
      <c r="P9" s="2">
        <v>41180</v>
      </c>
      <c r="Q9" t="s">
        <v>77</v>
      </c>
      <c r="R9" s="3" t="s">
        <v>99</v>
      </c>
      <c r="S9">
        <v>8108881430</v>
      </c>
      <c r="T9" t="s">
        <v>54</v>
      </c>
      <c r="U9" t="s">
        <v>55</v>
      </c>
      <c r="V9" t="s">
        <v>42</v>
      </c>
      <c r="W9">
        <v>48000</v>
      </c>
      <c r="X9">
        <v>4857</v>
      </c>
      <c r="Y9">
        <v>2460</v>
      </c>
      <c r="Z9">
        <v>2814</v>
      </c>
      <c r="AA9">
        <v>10795</v>
      </c>
    </row>
    <row r="10" spans="1:27">
      <c r="A10" t="s">
        <v>100</v>
      </c>
      <c r="B10" s="1" t="s">
        <v>101</v>
      </c>
      <c r="C10" t="s">
        <v>59</v>
      </c>
      <c r="D10" t="s">
        <v>60</v>
      </c>
      <c r="E10" t="s">
        <v>61</v>
      </c>
      <c r="F10" s="2">
        <v>44688</v>
      </c>
      <c r="G10" s="2" t="s">
        <v>76</v>
      </c>
      <c r="H10">
        <v>3</v>
      </c>
      <c r="I10">
        <v>5</v>
      </c>
      <c r="J10" t="e" vm="8">
        <v>#VALUE!</v>
      </c>
      <c r="K10" t="s">
        <v>33</v>
      </c>
      <c r="L10" t="s">
        <v>34</v>
      </c>
      <c r="M10" t="s">
        <v>35</v>
      </c>
      <c r="N10" t="s">
        <v>50</v>
      </c>
      <c r="O10" t="s">
        <v>66</v>
      </c>
      <c r="P10" s="2">
        <v>41882</v>
      </c>
      <c r="Q10" t="s">
        <v>38</v>
      </c>
      <c r="R10" s="3" t="s">
        <v>102</v>
      </c>
      <c r="S10">
        <v>9623120150</v>
      </c>
      <c r="T10" t="s">
        <v>69</v>
      </c>
      <c r="U10" t="s">
        <v>70</v>
      </c>
      <c r="V10" t="s">
        <v>56</v>
      </c>
      <c r="W10">
        <v>31000</v>
      </c>
      <c r="X10">
        <v>4746</v>
      </c>
      <c r="Y10">
        <v>2490</v>
      </c>
      <c r="Z10">
        <v>1122</v>
      </c>
      <c r="AA10">
        <v>9064</v>
      </c>
    </row>
    <row r="11" spans="1:27">
      <c r="A11" t="s">
        <v>103</v>
      </c>
      <c r="B11" s="1" t="s">
        <v>104</v>
      </c>
      <c r="C11" t="s">
        <v>29</v>
      </c>
      <c r="D11" t="s">
        <v>74</v>
      </c>
      <c r="E11" t="s">
        <v>75</v>
      </c>
      <c r="F11" s="2">
        <v>45947</v>
      </c>
      <c r="G11" t="s">
        <v>84</v>
      </c>
      <c r="H11">
        <v>5</v>
      </c>
      <c r="I11">
        <v>8</v>
      </c>
      <c r="J11" t="e" vm="9">
        <v>#VALUE!</v>
      </c>
      <c r="K11" t="s">
        <v>33</v>
      </c>
      <c r="L11" t="s">
        <v>63</v>
      </c>
      <c r="M11" t="s">
        <v>49</v>
      </c>
      <c r="N11" t="s">
        <v>65</v>
      </c>
      <c r="O11" t="s">
        <v>51</v>
      </c>
      <c r="P11" s="2">
        <v>39461</v>
      </c>
      <c r="Q11" t="s">
        <v>77</v>
      </c>
      <c r="R11" s="3" t="s">
        <v>105</v>
      </c>
      <c r="S11">
        <v>9832564390</v>
      </c>
      <c r="T11" t="s">
        <v>40</v>
      </c>
      <c r="U11" t="s">
        <v>41</v>
      </c>
      <c r="V11" t="s">
        <v>42</v>
      </c>
      <c r="W11">
        <v>29000</v>
      </c>
      <c r="X11">
        <v>4525</v>
      </c>
      <c r="Y11">
        <v>2087</v>
      </c>
      <c r="Z11">
        <v>2358</v>
      </c>
      <c r="AA11">
        <v>15172</v>
      </c>
    </row>
    <row r="12" spans="1:27">
      <c r="A12" t="s">
        <v>106</v>
      </c>
      <c r="B12" s="1" t="s">
        <v>107</v>
      </c>
      <c r="C12" t="s">
        <v>108</v>
      </c>
      <c r="D12" t="s">
        <v>82</v>
      </c>
      <c r="E12" t="s">
        <v>83</v>
      </c>
      <c r="F12" s="2">
        <v>44524</v>
      </c>
      <c r="G12" s="2" t="s">
        <v>32</v>
      </c>
      <c r="H12">
        <v>5</v>
      </c>
      <c r="I12">
        <v>8</v>
      </c>
      <c r="J12" t="e" vm="10">
        <v>#VALUE!</v>
      </c>
      <c r="K12" t="s">
        <v>33</v>
      </c>
      <c r="L12" t="s">
        <v>34</v>
      </c>
      <c r="M12" t="s">
        <v>64</v>
      </c>
      <c r="N12" t="s">
        <v>65</v>
      </c>
      <c r="O12" t="s">
        <v>51</v>
      </c>
      <c r="P12" s="2">
        <v>40105</v>
      </c>
      <c r="Q12" t="s">
        <v>38</v>
      </c>
      <c r="R12" s="3" t="s">
        <v>109</v>
      </c>
      <c r="S12">
        <v>8765234120</v>
      </c>
      <c r="T12" t="s">
        <v>54</v>
      </c>
      <c r="U12" t="s">
        <v>55</v>
      </c>
      <c r="V12" t="s">
        <v>56</v>
      </c>
      <c r="W12">
        <v>55000</v>
      </c>
      <c r="X12">
        <v>5399</v>
      </c>
      <c r="Y12">
        <v>2006</v>
      </c>
      <c r="Z12">
        <v>1984</v>
      </c>
      <c r="AA12">
        <v>15278</v>
      </c>
    </row>
    <row r="13" spans="1:27">
      <c r="A13" t="s">
        <v>110</v>
      </c>
      <c r="B13" s="1" t="s">
        <v>111</v>
      </c>
      <c r="C13" t="s">
        <v>112</v>
      </c>
      <c r="D13" t="s">
        <v>89</v>
      </c>
      <c r="E13" t="s">
        <v>113</v>
      </c>
      <c r="F13" s="2">
        <v>45116</v>
      </c>
      <c r="G13" s="2" t="s">
        <v>48</v>
      </c>
      <c r="H13">
        <v>5</v>
      </c>
      <c r="I13">
        <v>7</v>
      </c>
      <c r="J13" t="e" vm="11">
        <v>#VALUE!</v>
      </c>
      <c r="K13" t="s">
        <v>33</v>
      </c>
      <c r="L13" t="s">
        <v>34</v>
      </c>
      <c r="M13" t="s">
        <v>35</v>
      </c>
      <c r="N13" t="s">
        <v>36</v>
      </c>
      <c r="O13" t="s">
        <v>66</v>
      </c>
      <c r="P13" s="2">
        <v>41235</v>
      </c>
      <c r="Q13" t="s">
        <v>52</v>
      </c>
      <c r="R13" s="3" t="s">
        <v>114</v>
      </c>
      <c r="S13">
        <v>9808602317</v>
      </c>
      <c r="T13" t="s">
        <v>69</v>
      </c>
      <c r="U13" t="s">
        <v>70</v>
      </c>
      <c r="V13" t="s">
        <v>42</v>
      </c>
      <c r="W13">
        <v>42000</v>
      </c>
      <c r="X13">
        <v>5836</v>
      </c>
      <c r="Y13">
        <v>2233</v>
      </c>
      <c r="Z13">
        <v>1115</v>
      </c>
      <c r="AA13">
        <v>15838</v>
      </c>
    </row>
    <row r="14" spans="1:27">
      <c r="A14" t="s">
        <v>115</v>
      </c>
      <c r="B14" t="s">
        <v>116</v>
      </c>
      <c r="C14" t="s">
        <v>117</v>
      </c>
      <c r="D14" t="s">
        <v>30</v>
      </c>
      <c r="E14" t="s">
        <v>94</v>
      </c>
      <c r="F14" s="2">
        <v>45495</v>
      </c>
      <c r="G14" s="2" t="s">
        <v>62</v>
      </c>
      <c r="H14">
        <v>4</v>
      </c>
      <c r="I14">
        <v>8</v>
      </c>
      <c r="J14" t="e" vm="12">
        <v>#VALUE!</v>
      </c>
      <c r="K14" t="s">
        <v>33</v>
      </c>
      <c r="L14" t="s">
        <v>63</v>
      </c>
      <c r="M14" t="s">
        <v>49</v>
      </c>
      <c r="N14" t="s">
        <v>36</v>
      </c>
      <c r="O14" t="s">
        <v>37</v>
      </c>
      <c r="P14" s="2">
        <v>42420</v>
      </c>
      <c r="Q14" t="s">
        <v>67</v>
      </c>
      <c r="R14" s="3" t="s">
        <v>118</v>
      </c>
      <c r="S14">
        <v>9010302040</v>
      </c>
      <c r="T14" t="s">
        <v>40</v>
      </c>
      <c r="U14" t="s">
        <v>41</v>
      </c>
      <c r="V14" t="s">
        <v>56</v>
      </c>
      <c r="W14">
        <v>37000</v>
      </c>
      <c r="X14">
        <v>3391</v>
      </c>
      <c r="Y14">
        <v>2385</v>
      </c>
      <c r="Z14">
        <v>2371</v>
      </c>
      <c r="AA14">
        <v>10211</v>
      </c>
    </row>
    <row r="15" spans="1:27">
      <c r="A15" t="s">
        <v>119</v>
      </c>
      <c r="B15" s="1" t="s">
        <v>120</v>
      </c>
      <c r="C15" t="s">
        <v>121</v>
      </c>
      <c r="D15" t="s">
        <v>46</v>
      </c>
      <c r="E15" t="s">
        <v>122</v>
      </c>
      <c r="F15" s="2">
        <v>44433</v>
      </c>
      <c r="G15" s="2" t="s">
        <v>76</v>
      </c>
      <c r="H15">
        <v>5</v>
      </c>
      <c r="I15">
        <v>6</v>
      </c>
      <c r="J15" t="e" vm="13">
        <v>#VALUE!</v>
      </c>
      <c r="K15" t="s">
        <v>33</v>
      </c>
      <c r="L15" t="s">
        <v>34</v>
      </c>
      <c r="M15" t="s">
        <v>64</v>
      </c>
      <c r="N15" t="s">
        <v>50</v>
      </c>
      <c r="O15" t="s">
        <v>66</v>
      </c>
      <c r="P15" s="2">
        <v>43340</v>
      </c>
      <c r="Q15" t="s">
        <v>77</v>
      </c>
      <c r="R15" s="3" t="s">
        <v>123</v>
      </c>
      <c r="S15">
        <v>9854320286</v>
      </c>
      <c r="T15" t="s">
        <v>54</v>
      </c>
      <c r="U15" t="s">
        <v>55</v>
      </c>
      <c r="V15" t="s">
        <v>42</v>
      </c>
      <c r="W15">
        <v>40000</v>
      </c>
      <c r="X15">
        <v>2322</v>
      </c>
      <c r="Y15">
        <v>2013</v>
      </c>
      <c r="Z15">
        <v>1548</v>
      </c>
      <c r="AA15">
        <v>11267</v>
      </c>
    </row>
    <row r="16" spans="1:27">
      <c r="A16" t="s">
        <v>124</v>
      </c>
      <c r="B16" s="1" t="s">
        <v>125</v>
      </c>
      <c r="C16" t="s">
        <v>126</v>
      </c>
      <c r="D16" t="s">
        <v>60</v>
      </c>
      <c r="E16" t="s">
        <v>127</v>
      </c>
      <c r="F16" s="2">
        <v>45988</v>
      </c>
      <c r="G16" t="s">
        <v>84</v>
      </c>
      <c r="H16">
        <v>5</v>
      </c>
      <c r="I16">
        <v>6</v>
      </c>
      <c r="J16" t="e" vm="14">
        <v>#VALUE!</v>
      </c>
      <c r="K16" t="s">
        <v>33</v>
      </c>
      <c r="L16" t="s">
        <v>63</v>
      </c>
      <c r="M16" t="s">
        <v>35</v>
      </c>
      <c r="N16" t="s">
        <v>65</v>
      </c>
      <c r="O16" t="s">
        <v>66</v>
      </c>
      <c r="P16" s="2">
        <v>40643</v>
      </c>
      <c r="Q16" t="s">
        <v>38</v>
      </c>
      <c r="R16" s="3" t="s">
        <v>128</v>
      </c>
      <c r="S16">
        <v>9027202587</v>
      </c>
      <c r="T16" t="s">
        <v>69</v>
      </c>
      <c r="U16" t="s">
        <v>70</v>
      </c>
      <c r="V16" t="s">
        <v>56</v>
      </c>
      <c r="W16">
        <v>38000</v>
      </c>
      <c r="X16">
        <v>4512</v>
      </c>
      <c r="Y16">
        <v>1660</v>
      </c>
      <c r="Z16">
        <v>2582</v>
      </c>
      <c r="AA16">
        <v>13514</v>
      </c>
    </row>
    <row r="17" spans="1:27">
      <c r="A17" t="s">
        <v>129</v>
      </c>
      <c r="B17" s="1" t="s">
        <v>130</v>
      </c>
      <c r="C17" t="s">
        <v>131</v>
      </c>
      <c r="D17" t="s">
        <v>82</v>
      </c>
      <c r="E17" t="s">
        <v>83</v>
      </c>
      <c r="F17" s="2">
        <v>44273</v>
      </c>
      <c r="G17" s="2" t="s">
        <v>32</v>
      </c>
      <c r="H17">
        <v>3</v>
      </c>
      <c r="I17">
        <v>7</v>
      </c>
      <c r="J17" t="e" vm="11">
        <v>#VALUE!</v>
      </c>
      <c r="K17" t="s">
        <v>33</v>
      </c>
      <c r="L17" t="s">
        <v>34</v>
      </c>
      <c r="M17" t="s">
        <v>49</v>
      </c>
      <c r="N17" t="s">
        <v>65</v>
      </c>
      <c r="O17" t="s">
        <v>51</v>
      </c>
      <c r="P17" s="2">
        <v>41277</v>
      </c>
      <c r="Q17" t="s">
        <v>52</v>
      </c>
      <c r="R17" s="3" t="s">
        <v>132</v>
      </c>
      <c r="S17">
        <v>8785818089</v>
      </c>
      <c r="T17" t="s">
        <v>40</v>
      </c>
      <c r="U17" t="s">
        <v>41</v>
      </c>
      <c r="V17" t="s">
        <v>42</v>
      </c>
      <c r="W17">
        <v>34000</v>
      </c>
      <c r="X17">
        <v>3878</v>
      </c>
      <c r="Y17">
        <v>1816</v>
      </c>
      <c r="Z17">
        <v>2189</v>
      </c>
      <c r="AA17">
        <v>14132</v>
      </c>
    </row>
    <row r="18" spans="1:27">
      <c r="A18" t="s">
        <v>133</v>
      </c>
      <c r="B18" t="s">
        <v>134</v>
      </c>
      <c r="C18" t="s">
        <v>135</v>
      </c>
      <c r="D18" t="s">
        <v>89</v>
      </c>
      <c r="E18" t="s">
        <v>113</v>
      </c>
      <c r="F18" s="2">
        <v>45675</v>
      </c>
      <c r="G18" s="2" t="s">
        <v>48</v>
      </c>
      <c r="H18">
        <v>3</v>
      </c>
      <c r="I18">
        <v>8</v>
      </c>
      <c r="J18" t="e" vm="12">
        <v>#VALUE!</v>
      </c>
      <c r="K18" t="s">
        <v>33</v>
      </c>
      <c r="L18" t="s">
        <v>34</v>
      </c>
      <c r="M18" t="s">
        <v>49</v>
      </c>
      <c r="N18" t="s">
        <v>36</v>
      </c>
      <c r="O18" t="s">
        <v>37</v>
      </c>
      <c r="P18" s="2">
        <v>38276</v>
      </c>
      <c r="Q18" t="s">
        <v>67</v>
      </c>
      <c r="R18" s="3" t="s">
        <v>136</v>
      </c>
      <c r="S18">
        <v>8087812367</v>
      </c>
      <c r="T18" t="s">
        <v>54</v>
      </c>
      <c r="U18" t="s">
        <v>55</v>
      </c>
      <c r="V18" t="s">
        <v>56</v>
      </c>
      <c r="W18">
        <v>36000</v>
      </c>
      <c r="X18">
        <v>5168</v>
      </c>
      <c r="Y18">
        <v>1925</v>
      </c>
      <c r="Z18">
        <v>1935</v>
      </c>
      <c r="AA18">
        <v>10916</v>
      </c>
    </row>
    <row r="19" spans="1:27">
      <c r="A19" t="s">
        <v>137</v>
      </c>
      <c r="B19" t="s">
        <v>138</v>
      </c>
      <c r="C19" t="s">
        <v>139</v>
      </c>
      <c r="D19" t="s">
        <v>30</v>
      </c>
      <c r="E19" t="s">
        <v>94</v>
      </c>
      <c r="F19" s="2">
        <v>44758</v>
      </c>
      <c r="G19" s="2" t="s">
        <v>62</v>
      </c>
      <c r="H19">
        <v>4</v>
      </c>
      <c r="I19">
        <v>5</v>
      </c>
      <c r="J19" t="e" vm="13">
        <v>#VALUE!</v>
      </c>
      <c r="K19" t="s">
        <v>33</v>
      </c>
      <c r="L19" t="s">
        <v>63</v>
      </c>
      <c r="M19" t="s">
        <v>64</v>
      </c>
      <c r="N19" t="s">
        <v>50</v>
      </c>
      <c r="O19" t="s">
        <v>66</v>
      </c>
      <c r="P19" s="2">
        <v>40128</v>
      </c>
      <c r="Q19" t="s">
        <v>52</v>
      </c>
      <c r="R19" s="3" t="s">
        <v>140</v>
      </c>
      <c r="S19">
        <v>8123456780</v>
      </c>
      <c r="T19" t="s">
        <v>69</v>
      </c>
      <c r="U19" t="s">
        <v>70</v>
      </c>
      <c r="V19" t="s">
        <v>42</v>
      </c>
      <c r="W19">
        <v>46000</v>
      </c>
      <c r="X19">
        <v>4723</v>
      </c>
      <c r="Y19">
        <v>2454</v>
      </c>
      <c r="Z19">
        <v>2159</v>
      </c>
      <c r="AA19">
        <v>12524</v>
      </c>
    </row>
    <row r="20" spans="1:27">
      <c r="A20" t="s">
        <v>141</v>
      </c>
      <c r="B20" s="1" t="s">
        <v>142</v>
      </c>
      <c r="C20" t="s">
        <v>59</v>
      </c>
      <c r="D20" t="s">
        <v>46</v>
      </c>
      <c r="E20" t="s">
        <v>122</v>
      </c>
      <c r="F20" s="2">
        <v>46005</v>
      </c>
      <c r="G20" s="2" t="s">
        <v>76</v>
      </c>
      <c r="H20">
        <v>5</v>
      </c>
      <c r="I20">
        <v>6</v>
      </c>
      <c r="J20" t="e" vm="14">
        <v>#VALUE!</v>
      </c>
      <c r="K20" t="s">
        <v>33</v>
      </c>
      <c r="L20" t="s">
        <v>34</v>
      </c>
      <c r="M20" t="s">
        <v>49</v>
      </c>
      <c r="N20" t="s">
        <v>65</v>
      </c>
      <c r="O20" t="s">
        <v>51</v>
      </c>
      <c r="P20" s="2">
        <v>40643</v>
      </c>
      <c r="Q20" t="s">
        <v>38</v>
      </c>
      <c r="R20" s="3" t="s">
        <v>143</v>
      </c>
      <c r="S20">
        <v>9087654321</v>
      </c>
      <c r="T20" t="s">
        <v>40</v>
      </c>
      <c r="U20" t="s">
        <v>41</v>
      </c>
      <c r="V20" t="s">
        <v>42</v>
      </c>
      <c r="W20">
        <v>32000</v>
      </c>
      <c r="X20">
        <v>2879</v>
      </c>
      <c r="Y20">
        <v>2169</v>
      </c>
      <c r="Z20">
        <v>1695</v>
      </c>
      <c r="AA20">
        <v>14418</v>
      </c>
    </row>
    <row r="21" spans="1:27">
      <c r="A21" t="s">
        <v>144</v>
      </c>
      <c r="B21" s="1" t="s">
        <v>145</v>
      </c>
      <c r="C21" t="s">
        <v>146</v>
      </c>
      <c r="D21" t="s">
        <v>60</v>
      </c>
      <c r="E21" t="s">
        <v>127</v>
      </c>
      <c r="F21" s="2">
        <v>45283</v>
      </c>
      <c r="G21" t="s">
        <v>84</v>
      </c>
      <c r="H21">
        <v>4</v>
      </c>
      <c r="I21">
        <v>9</v>
      </c>
      <c r="J21" t="e" vm="13">
        <v>#VALUE!</v>
      </c>
      <c r="K21" t="s">
        <v>33</v>
      </c>
      <c r="L21" t="s">
        <v>63</v>
      </c>
      <c r="M21" t="s">
        <v>49</v>
      </c>
      <c r="N21" t="s">
        <v>65</v>
      </c>
      <c r="O21" t="s">
        <v>66</v>
      </c>
      <c r="P21" s="2">
        <v>37415</v>
      </c>
      <c r="Q21" t="s">
        <v>52</v>
      </c>
      <c r="R21" s="3" t="s">
        <v>147</v>
      </c>
      <c r="S21">
        <v>8292939495</v>
      </c>
      <c r="T21" t="s">
        <v>54</v>
      </c>
      <c r="U21" t="s">
        <v>55</v>
      </c>
      <c r="V21" t="s">
        <v>56</v>
      </c>
      <c r="W21">
        <v>50000</v>
      </c>
      <c r="X21">
        <v>4261</v>
      </c>
      <c r="Y21">
        <v>2048</v>
      </c>
      <c r="Z21">
        <v>2951</v>
      </c>
      <c r="AA21">
        <v>15996</v>
      </c>
    </row>
  </sheetData>
  <hyperlinks>
    <hyperlink ref="R2" r:id="rId1" xr:uid="{0909AA89-63A3-4883-B81C-1EF9553EBB50}"/>
    <hyperlink ref="R3" r:id="rId2" xr:uid="{BBBD480E-7857-4C16-9F2B-DC3A4E343513}"/>
    <hyperlink ref="R4" r:id="rId3" xr:uid="{A8185D0C-C7D6-4F4F-BD59-E8077CEA90FA}"/>
    <hyperlink ref="R5" r:id="rId4" xr:uid="{0EEEF6B4-61AA-4FD0-BD87-20793056BAED}"/>
    <hyperlink ref="R6" r:id="rId5" xr:uid="{C82377BE-53D3-49F0-AF42-99794DDBEB42}"/>
    <hyperlink ref="R7" r:id="rId6" xr:uid="{0F1C1C6F-B9D6-40B9-8EDB-BBD868F0E195}"/>
    <hyperlink ref="R8" r:id="rId7" xr:uid="{4413069E-7832-4BC8-9916-6D8689339711}"/>
    <hyperlink ref="R9" r:id="rId8" xr:uid="{7E076DEA-BBF1-4CC3-B82F-19C685613A8B}"/>
    <hyperlink ref="R10" r:id="rId9" xr:uid="{22563C17-C8A2-46BC-A544-4A4DCBBCD227}"/>
    <hyperlink ref="R11" r:id="rId10" xr:uid="{D1B185EC-F41C-4A71-AC5D-779A0AE2F3C0}"/>
    <hyperlink ref="R12" r:id="rId11" xr:uid="{D9B0615D-97FB-4DF2-A2EA-70CBF60A715A}"/>
    <hyperlink ref="R13" r:id="rId12" xr:uid="{7D0BDD44-1143-4F70-B785-AC4A2060B8FD}"/>
    <hyperlink ref="R14" r:id="rId13" xr:uid="{FCA8444F-3A91-4145-84EA-966AE316DA0F}"/>
    <hyperlink ref="R15" r:id="rId14" xr:uid="{DA1631A2-B914-413C-8F8A-A53141198A8B}"/>
    <hyperlink ref="R16" r:id="rId15" xr:uid="{D1362891-2029-461E-8FC3-B6EEF4A2DEF0}"/>
    <hyperlink ref="R17" r:id="rId16" xr:uid="{F56D6F7E-41A1-4892-A163-AB8CC4360F72}"/>
    <hyperlink ref="R18" r:id="rId17" xr:uid="{8798EFB0-90ED-456C-9766-29DFEF84BE9D}"/>
    <hyperlink ref="R19" r:id="rId18" xr:uid="{50CD24CB-EEA1-42D7-8105-4FF7E4BD43CB}"/>
    <hyperlink ref="R20" r:id="rId19" xr:uid="{8784AF44-5119-41D3-B4B7-693A6C8E264D}"/>
    <hyperlink ref="R21" r:id="rId20" xr:uid="{C794C0D5-F217-4F65-ACA2-BCFD5DAC5AB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88F53-AEE9-4525-B739-4F1D7971199B}">
  <dimension ref="A1:AA21"/>
  <sheetViews>
    <sheetView topLeftCell="A2" workbookViewId="0">
      <selection activeCell="F10" sqref="F10"/>
    </sheetView>
  </sheetViews>
  <sheetFormatPr defaultRowHeight="15"/>
  <cols>
    <col min="1" max="1" width="12.28515625" bestFit="1" customWidth="1"/>
    <col min="2" max="2" width="18.7109375" bestFit="1" customWidth="1"/>
    <col min="3" max="3" width="13.5703125" bestFit="1" customWidth="1"/>
    <col min="4" max="4" width="13.5703125" customWidth="1"/>
    <col min="5" max="5" width="12.42578125" bestFit="1" customWidth="1"/>
    <col min="6" max="6" width="17" bestFit="1" customWidth="1"/>
    <col min="7" max="7" width="18.7109375" bestFit="1" customWidth="1"/>
    <col min="8" max="8" width="11.5703125" bestFit="1" customWidth="1"/>
    <col min="9" max="9" width="17.42578125" bestFit="1" customWidth="1"/>
    <col min="10" max="10" width="18.5703125" bestFit="1" customWidth="1"/>
    <col min="11" max="11" width="13.5703125" bestFit="1" customWidth="1"/>
    <col min="12" max="12" width="12" bestFit="1" customWidth="1"/>
    <col min="13" max="13" width="11" bestFit="1" customWidth="1"/>
    <col min="14" max="14" width="12.5703125" bestFit="1" customWidth="1"/>
    <col min="15" max="15" width="13.5703125" bestFit="1" customWidth="1"/>
    <col min="16" max="16" width="13.28515625" bestFit="1" customWidth="1"/>
    <col min="17" max="17" width="33.28515625" style="7" bestFit="1" customWidth="1"/>
    <col min="18" max="18" width="15" bestFit="1" customWidth="1"/>
    <col min="19" max="19" width="10" bestFit="1" customWidth="1"/>
    <col min="20" max="20" width="14.85546875" bestFit="1" customWidth="1"/>
    <col min="21" max="21" width="18.7109375" bestFit="1" customWidth="1"/>
    <col min="22" max="22" width="11.7109375" bestFit="1" customWidth="1"/>
    <col min="23" max="23" width="20" bestFit="1" customWidth="1"/>
    <col min="24" max="24" width="18.42578125" bestFit="1" customWidth="1"/>
    <col min="25" max="25" width="6.5703125" bestFit="1" customWidth="1"/>
    <col min="26" max="26" width="28" bestFit="1" customWidth="1"/>
    <col min="27" max="27" width="16.7109375" bestFit="1" customWidth="1"/>
  </cols>
  <sheetData>
    <row r="1" spans="1:27">
      <c r="A1" s="4" t="s">
        <v>0</v>
      </c>
      <c r="B1" s="5" t="s">
        <v>1</v>
      </c>
      <c r="C1" s="5" t="s">
        <v>148</v>
      </c>
      <c r="D1" s="4" t="s">
        <v>149</v>
      </c>
      <c r="E1" s="5" t="s">
        <v>5</v>
      </c>
      <c r="F1" s="5" t="s">
        <v>6</v>
      </c>
      <c r="G1" s="4" t="s">
        <v>7</v>
      </c>
      <c r="H1" s="4" t="s">
        <v>8</v>
      </c>
      <c r="I1" s="4" t="s">
        <v>9</v>
      </c>
      <c r="J1" s="4" t="s">
        <v>10</v>
      </c>
      <c r="K1" s="4" t="s">
        <v>11</v>
      </c>
      <c r="L1" s="5" t="s">
        <v>12</v>
      </c>
      <c r="M1" s="5" t="s">
        <v>13</v>
      </c>
      <c r="N1" s="5" t="s">
        <v>14</v>
      </c>
      <c r="O1" s="5" t="s">
        <v>15</v>
      </c>
      <c r="P1" s="5" t="s">
        <v>16</v>
      </c>
      <c r="Q1" s="5" t="s">
        <v>17</v>
      </c>
      <c r="R1" s="5" t="s">
        <v>18</v>
      </c>
      <c r="S1" s="5" t="s">
        <v>19</v>
      </c>
      <c r="T1" s="5" t="s">
        <v>20</v>
      </c>
      <c r="U1" s="5" t="s">
        <v>21</v>
      </c>
      <c r="V1" s="5" t="s">
        <v>22</v>
      </c>
      <c r="W1" s="5" t="s">
        <v>23</v>
      </c>
      <c r="X1" s="5" t="s">
        <v>24</v>
      </c>
      <c r="Y1" s="5" t="s">
        <v>25</v>
      </c>
      <c r="Z1" s="5" t="s">
        <v>26</v>
      </c>
      <c r="AA1" s="5"/>
    </row>
    <row r="2" spans="1:27">
      <c r="A2" s="5" t="s">
        <v>27</v>
      </c>
      <c r="B2" s="5" t="s">
        <v>150</v>
      </c>
      <c r="C2" s="5" t="s">
        <v>151</v>
      </c>
      <c r="D2" s="5">
        <v>39</v>
      </c>
      <c r="E2" s="6">
        <v>44681</v>
      </c>
      <c r="F2" s="6" t="s">
        <v>32</v>
      </c>
      <c r="G2" s="5">
        <v>4</v>
      </c>
      <c r="H2" s="5">
        <v>5</v>
      </c>
      <c r="I2" s="5" t="e" vm="1">
        <v>#VALUE!</v>
      </c>
      <c r="J2" s="5" t="s">
        <v>33</v>
      </c>
      <c r="K2" s="5" t="s">
        <v>34</v>
      </c>
      <c r="L2" s="5" t="s">
        <v>35</v>
      </c>
      <c r="M2" s="5" t="s">
        <v>36</v>
      </c>
      <c r="N2" s="5" t="s">
        <v>37</v>
      </c>
      <c r="O2" s="6">
        <v>39270</v>
      </c>
      <c r="P2" s="5" t="s">
        <v>38</v>
      </c>
      <c r="Q2" s="8" t="s">
        <v>39</v>
      </c>
      <c r="R2" s="5">
        <v>8976543210</v>
      </c>
      <c r="S2" s="5" t="s">
        <v>40</v>
      </c>
      <c r="T2" s="5" t="s">
        <v>41</v>
      </c>
      <c r="U2" s="5" t="s">
        <v>42</v>
      </c>
      <c r="V2" s="5">
        <v>28000</v>
      </c>
      <c r="W2" s="5">
        <v>2835</v>
      </c>
      <c r="X2" s="5">
        <v>2007</v>
      </c>
      <c r="Y2" s="5">
        <v>2185</v>
      </c>
      <c r="Z2" s="5">
        <v>12287</v>
      </c>
      <c r="AA2" s="5"/>
    </row>
    <row r="3" spans="1:27">
      <c r="A3" s="5" t="s">
        <v>43</v>
      </c>
      <c r="B3" s="4" t="s">
        <v>44</v>
      </c>
      <c r="C3" s="5" t="s">
        <v>151</v>
      </c>
      <c r="D3" s="5">
        <v>34</v>
      </c>
      <c r="E3" s="6">
        <v>45403</v>
      </c>
      <c r="F3" s="6" t="s">
        <v>48</v>
      </c>
      <c r="G3" s="5">
        <v>3</v>
      </c>
      <c r="H3" s="5">
        <v>5</v>
      </c>
      <c r="I3" s="5" t="e" vm="2">
        <v>#VALUE!</v>
      </c>
      <c r="J3" s="5" t="s">
        <v>33</v>
      </c>
      <c r="K3" s="5" t="s">
        <v>34</v>
      </c>
      <c r="L3" s="5" t="s">
        <v>49</v>
      </c>
      <c r="M3" s="5" t="s">
        <v>50</v>
      </c>
      <c r="N3" s="5" t="s">
        <v>51</v>
      </c>
      <c r="O3" s="6">
        <v>41114</v>
      </c>
      <c r="P3" s="5" t="s">
        <v>52</v>
      </c>
      <c r="Q3" s="8" t="s">
        <v>53</v>
      </c>
      <c r="R3" s="5">
        <v>9854362109</v>
      </c>
      <c r="S3" s="5" t="s">
        <v>54</v>
      </c>
      <c r="T3" s="5" t="s">
        <v>55</v>
      </c>
      <c r="U3" s="5" t="s">
        <v>56</v>
      </c>
      <c r="V3" s="5">
        <v>33000</v>
      </c>
      <c r="W3" s="5">
        <v>3133</v>
      </c>
      <c r="X3" s="5">
        <v>1870</v>
      </c>
      <c r="Y3" s="5">
        <v>1802</v>
      </c>
      <c r="Z3" s="5">
        <v>9740</v>
      </c>
      <c r="AA3" s="5"/>
    </row>
    <row r="4" spans="1:27">
      <c r="A4" s="5" t="s">
        <v>57</v>
      </c>
      <c r="B4" s="5" t="s">
        <v>58</v>
      </c>
      <c r="C4" s="5" t="s">
        <v>152</v>
      </c>
      <c r="D4" s="5">
        <v>27</v>
      </c>
      <c r="E4" s="6">
        <v>45595</v>
      </c>
      <c r="F4" s="6" t="s">
        <v>62</v>
      </c>
      <c r="G4" s="5">
        <v>4</v>
      </c>
      <c r="H4" s="5">
        <v>8</v>
      </c>
      <c r="I4" s="5" t="e" vm="1">
        <v>#VALUE!</v>
      </c>
      <c r="J4" s="5" t="s">
        <v>33</v>
      </c>
      <c r="K4" s="5" t="s">
        <v>63</v>
      </c>
      <c r="L4" s="5" t="s">
        <v>64</v>
      </c>
      <c r="M4" s="5" t="s">
        <v>65</v>
      </c>
      <c r="N4" s="5" t="s">
        <v>66</v>
      </c>
      <c r="O4" s="6">
        <v>40810</v>
      </c>
      <c r="P4" s="5" t="s">
        <v>67</v>
      </c>
      <c r="Q4" s="8" t="s">
        <v>68</v>
      </c>
      <c r="R4" s="5">
        <v>9239456120</v>
      </c>
      <c r="S4" s="5" t="s">
        <v>69</v>
      </c>
      <c r="T4" s="5" t="s">
        <v>70</v>
      </c>
      <c r="U4" s="5" t="s">
        <v>42</v>
      </c>
      <c r="V4" s="5">
        <v>38000</v>
      </c>
      <c r="W4" s="5">
        <v>4320</v>
      </c>
      <c r="X4" s="5">
        <v>2147</v>
      </c>
      <c r="Y4" s="5">
        <v>2970</v>
      </c>
      <c r="Z4" s="5">
        <v>11982</v>
      </c>
      <c r="AA4" s="5"/>
    </row>
    <row r="5" spans="1:27">
      <c r="A5" s="5" t="s">
        <v>71</v>
      </c>
      <c r="B5" s="4" t="s">
        <v>72</v>
      </c>
      <c r="C5" s="5" t="s">
        <v>151</v>
      </c>
      <c r="D5" s="5">
        <v>40</v>
      </c>
      <c r="E5" s="6">
        <v>45116</v>
      </c>
      <c r="F5" s="6" t="s">
        <v>76</v>
      </c>
      <c r="G5" s="5">
        <v>4</v>
      </c>
      <c r="H5" s="5">
        <v>5</v>
      </c>
      <c r="I5" s="5" t="e" vm="3">
        <v>#VALUE!</v>
      </c>
      <c r="J5" s="5" t="s">
        <v>33</v>
      </c>
      <c r="K5" s="5" t="s">
        <v>34</v>
      </c>
      <c r="L5" s="5" t="s">
        <v>35</v>
      </c>
      <c r="M5" s="5" t="s">
        <v>36</v>
      </c>
      <c r="N5" s="5" t="s">
        <v>51</v>
      </c>
      <c r="O5" s="6">
        <v>38238</v>
      </c>
      <c r="P5" s="5" t="s">
        <v>77</v>
      </c>
      <c r="Q5" s="8" t="s">
        <v>78</v>
      </c>
      <c r="R5" s="5">
        <v>8142736904</v>
      </c>
      <c r="S5" s="5" t="s">
        <v>40</v>
      </c>
      <c r="T5" s="5" t="s">
        <v>41</v>
      </c>
      <c r="U5" s="5" t="s">
        <v>56</v>
      </c>
      <c r="V5" s="5">
        <v>30000</v>
      </c>
      <c r="W5" s="5">
        <v>2656</v>
      </c>
      <c r="X5" s="5">
        <v>1794</v>
      </c>
      <c r="Y5" s="5">
        <v>1509</v>
      </c>
      <c r="Z5" s="5">
        <v>13491</v>
      </c>
      <c r="AA5" s="5"/>
    </row>
    <row r="6" spans="1:27">
      <c r="A6" s="5" t="s">
        <v>79</v>
      </c>
      <c r="B6" s="4" t="s">
        <v>80</v>
      </c>
      <c r="C6" s="5" t="s">
        <v>152</v>
      </c>
      <c r="D6" s="5">
        <v>22</v>
      </c>
      <c r="E6" s="6">
        <v>45715</v>
      </c>
      <c r="F6" s="5" t="s">
        <v>84</v>
      </c>
      <c r="G6" s="5">
        <v>5</v>
      </c>
      <c r="H6" s="5">
        <v>7</v>
      </c>
      <c r="I6" s="5" t="e" vm="4">
        <v>#VALUE!</v>
      </c>
      <c r="J6" s="5" t="s">
        <v>33</v>
      </c>
      <c r="K6" s="5" t="s">
        <v>63</v>
      </c>
      <c r="L6" s="5" t="s">
        <v>49</v>
      </c>
      <c r="M6" s="5" t="s">
        <v>50</v>
      </c>
      <c r="N6" s="5" t="s">
        <v>37</v>
      </c>
      <c r="O6" s="6">
        <v>43361</v>
      </c>
      <c r="P6" s="5" t="s">
        <v>38</v>
      </c>
      <c r="Q6" s="8" t="s">
        <v>85</v>
      </c>
      <c r="R6" s="5">
        <v>8956633103</v>
      </c>
      <c r="S6" s="5" t="s">
        <v>54</v>
      </c>
      <c r="T6" s="5" t="s">
        <v>55</v>
      </c>
      <c r="U6" s="5" t="s">
        <v>42</v>
      </c>
      <c r="V6" s="5">
        <v>52000</v>
      </c>
      <c r="W6" s="5">
        <v>3674</v>
      </c>
      <c r="X6" s="5">
        <v>1800</v>
      </c>
      <c r="Y6" s="5">
        <v>1075</v>
      </c>
      <c r="Z6" s="5">
        <v>11935</v>
      </c>
      <c r="AA6" s="5"/>
    </row>
    <row r="7" spans="1:27">
      <c r="A7" s="5" t="s">
        <v>86</v>
      </c>
      <c r="B7" s="4" t="s">
        <v>87</v>
      </c>
      <c r="C7" s="5" t="s">
        <v>152</v>
      </c>
      <c r="D7" s="5">
        <v>23</v>
      </c>
      <c r="E7" s="6">
        <v>46156</v>
      </c>
      <c r="F7" s="6" t="s">
        <v>32</v>
      </c>
      <c r="G7" s="5">
        <v>4</v>
      </c>
      <c r="H7" s="5">
        <v>8</v>
      </c>
      <c r="I7" s="5" t="e" vm="5">
        <v>#VALUE!</v>
      </c>
      <c r="J7" s="5" t="s">
        <v>33</v>
      </c>
      <c r="K7" s="5" t="s">
        <v>34</v>
      </c>
      <c r="L7" s="5" t="s">
        <v>64</v>
      </c>
      <c r="M7" s="5" t="s">
        <v>65</v>
      </c>
      <c r="N7" s="5" t="s">
        <v>66</v>
      </c>
      <c r="O7" s="6">
        <v>39843</v>
      </c>
      <c r="P7" s="5" t="s">
        <v>52</v>
      </c>
      <c r="Q7" s="8" t="s">
        <v>91</v>
      </c>
      <c r="R7" s="5">
        <v>9175514319</v>
      </c>
      <c r="S7" s="5" t="s">
        <v>69</v>
      </c>
      <c r="T7" s="5" t="s">
        <v>70</v>
      </c>
      <c r="U7" s="5" t="s">
        <v>42</v>
      </c>
      <c r="V7" s="5">
        <v>45000</v>
      </c>
      <c r="W7" s="5">
        <v>5870</v>
      </c>
      <c r="X7" s="5">
        <v>1875</v>
      </c>
      <c r="Y7" s="5">
        <v>1113</v>
      </c>
      <c r="Z7" s="5">
        <v>11161</v>
      </c>
      <c r="AA7" s="5"/>
    </row>
    <row r="8" spans="1:27">
      <c r="A8" s="5" t="s">
        <v>92</v>
      </c>
      <c r="B8" s="5" t="s">
        <v>93</v>
      </c>
      <c r="C8" s="5" t="s">
        <v>152</v>
      </c>
      <c r="D8" s="5">
        <v>22</v>
      </c>
      <c r="E8" s="6">
        <v>44363</v>
      </c>
      <c r="F8" s="6" t="s">
        <v>48</v>
      </c>
      <c r="G8" s="5">
        <v>4</v>
      </c>
      <c r="H8" s="5">
        <v>7</v>
      </c>
      <c r="I8" s="5" t="e" vm="6">
        <v>#VALUE!</v>
      </c>
      <c r="J8" s="5" t="s">
        <v>33</v>
      </c>
      <c r="K8" s="5" t="s">
        <v>63</v>
      </c>
      <c r="L8" s="5" t="s">
        <v>49</v>
      </c>
      <c r="M8" s="5" t="s">
        <v>65</v>
      </c>
      <c r="N8" s="5" t="s">
        <v>37</v>
      </c>
      <c r="O8" s="6">
        <v>40675</v>
      </c>
      <c r="P8" s="5" t="s">
        <v>67</v>
      </c>
      <c r="Q8" s="8" t="s">
        <v>95</v>
      </c>
      <c r="R8" s="5">
        <v>9320792333</v>
      </c>
      <c r="S8" s="5" t="s">
        <v>40</v>
      </c>
      <c r="T8" s="5" t="s">
        <v>41</v>
      </c>
      <c r="U8" s="5" t="s">
        <v>56</v>
      </c>
      <c r="V8" s="5">
        <v>25000</v>
      </c>
      <c r="W8" s="5">
        <v>4236</v>
      </c>
      <c r="X8" s="5">
        <v>1479</v>
      </c>
      <c r="Y8" s="5">
        <v>1260</v>
      </c>
      <c r="Z8" s="5">
        <v>15956</v>
      </c>
      <c r="AA8" s="5"/>
    </row>
    <row r="9" spans="1:27">
      <c r="A9" s="5" t="s">
        <v>96</v>
      </c>
      <c r="B9" s="4" t="s">
        <v>97</v>
      </c>
      <c r="C9" s="5" t="s">
        <v>151</v>
      </c>
      <c r="D9" s="5">
        <v>40</v>
      </c>
      <c r="E9" s="6">
        <v>45727</v>
      </c>
      <c r="F9" s="6" t="s">
        <v>62</v>
      </c>
      <c r="G9" s="5">
        <v>4</v>
      </c>
      <c r="H9" s="5">
        <v>7</v>
      </c>
      <c r="I9" s="5" t="e" vm="7">
        <v>#VALUE!</v>
      </c>
      <c r="J9" s="5" t="s">
        <v>33</v>
      </c>
      <c r="K9" s="5" t="s">
        <v>63</v>
      </c>
      <c r="L9" s="5" t="s">
        <v>64</v>
      </c>
      <c r="M9" s="5" t="s">
        <v>36</v>
      </c>
      <c r="N9" s="5" t="s">
        <v>51</v>
      </c>
      <c r="O9" s="6">
        <v>41180</v>
      </c>
      <c r="P9" s="5" t="s">
        <v>77</v>
      </c>
      <c r="Q9" s="8" t="s">
        <v>99</v>
      </c>
      <c r="R9" s="5">
        <v>8108881430</v>
      </c>
      <c r="S9" s="5" t="s">
        <v>54</v>
      </c>
      <c r="T9" s="5" t="s">
        <v>55</v>
      </c>
      <c r="U9" s="5" t="s">
        <v>42</v>
      </c>
      <c r="V9" s="5">
        <v>48000</v>
      </c>
      <c r="W9" s="5">
        <v>4857</v>
      </c>
      <c r="X9" s="5">
        <v>2460</v>
      </c>
      <c r="Y9" s="5">
        <v>2814</v>
      </c>
      <c r="Z9" s="5">
        <v>10795</v>
      </c>
      <c r="AA9" s="5"/>
    </row>
    <row r="10" spans="1:27">
      <c r="A10" s="5" t="s">
        <v>100</v>
      </c>
      <c r="B10" s="4" t="s">
        <v>101</v>
      </c>
      <c r="C10" s="5" t="s">
        <v>152</v>
      </c>
      <c r="D10" s="5">
        <v>27</v>
      </c>
      <c r="E10" s="6">
        <v>44688</v>
      </c>
      <c r="F10" s="6" t="s">
        <v>76</v>
      </c>
      <c r="G10" s="5">
        <v>3</v>
      </c>
      <c r="H10" s="5">
        <v>5</v>
      </c>
      <c r="I10" s="5" t="e" vm="8">
        <v>#VALUE!</v>
      </c>
      <c r="J10" s="5" t="s">
        <v>33</v>
      </c>
      <c r="K10" s="5" t="s">
        <v>34</v>
      </c>
      <c r="L10" s="5" t="s">
        <v>35</v>
      </c>
      <c r="M10" s="5" t="s">
        <v>50</v>
      </c>
      <c r="N10" s="5" t="s">
        <v>66</v>
      </c>
      <c r="O10" s="6">
        <v>41882</v>
      </c>
      <c r="P10" s="5" t="s">
        <v>38</v>
      </c>
      <c r="Q10" s="8" t="s">
        <v>102</v>
      </c>
      <c r="R10" s="5">
        <v>9623120150</v>
      </c>
      <c r="S10" s="5" t="s">
        <v>69</v>
      </c>
      <c r="T10" s="5" t="s">
        <v>70</v>
      </c>
      <c r="U10" s="5" t="s">
        <v>56</v>
      </c>
      <c r="V10" s="5">
        <v>31000</v>
      </c>
      <c r="W10" s="5">
        <v>4746</v>
      </c>
      <c r="X10" s="5">
        <v>2490</v>
      </c>
      <c r="Y10" s="5">
        <v>1122</v>
      </c>
      <c r="Z10" s="5">
        <v>9064</v>
      </c>
      <c r="AA10" s="5"/>
    </row>
    <row r="11" spans="1:27">
      <c r="A11" s="5" t="s">
        <v>103</v>
      </c>
      <c r="B11" s="4" t="s">
        <v>104</v>
      </c>
      <c r="C11" s="5" t="s">
        <v>151</v>
      </c>
      <c r="D11" s="5">
        <v>39</v>
      </c>
      <c r="E11" s="6">
        <v>45947</v>
      </c>
      <c r="F11" s="5" t="s">
        <v>84</v>
      </c>
      <c r="G11" s="5">
        <v>5</v>
      </c>
      <c r="H11" s="5">
        <v>8</v>
      </c>
      <c r="I11" s="5" t="e" vm="9">
        <v>#VALUE!</v>
      </c>
      <c r="J11" s="5" t="s">
        <v>33</v>
      </c>
      <c r="K11" s="5" t="s">
        <v>63</v>
      </c>
      <c r="L11" s="5" t="s">
        <v>49</v>
      </c>
      <c r="M11" s="5" t="s">
        <v>65</v>
      </c>
      <c r="N11" s="5" t="s">
        <v>51</v>
      </c>
      <c r="O11" s="6">
        <v>39461</v>
      </c>
      <c r="P11" s="5" t="s">
        <v>77</v>
      </c>
      <c r="Q11" s="8" t="s">
        <v>105</v>
      </c>
      <c r="R11" s="5">
        <v>9832564390</v>
      </c>
      <c r="S11" s="5" t="s">
        <v>40</v>
      </c>
      <c r="T11" s="5" t="s">
        <v>41</v>
      </c>
      <c r="U11" s="5" t="s">
        <v>42</v>
      </c>
      <c r="V11" s="5">
        <v>29000</v>
      </c>
      <c r="W11" s="5">
        <v>4525</v>
      </c>
      <c r="X11" s="5">
        <v>2087</v>
      </c>
      <c r="Y11" s="5">
        <v>2358</v>
      </c>
      <c r="Z11" s="5">
        <v>15172</v>
      </c>
      <c r="AA11" s="5"/>
    </row>
    <row r="12" spans="1:27">
      <c r="A12" s="5" t="s">
        <v>106</v>
      </c>
      <c r="B12" s="4" t="s">
        <v>107</v>
      </c>
      <c r="C12" s="5" t="s">
        <v>152</v>
      </c>
      <c r="D12" s="5">
        <v>45</v>
      </c>
      <c r="E12" s="6">
        <v>44524</v>
      </c>
      <c r="F12" s="6" t="s">
        <v>32</v>
      </c>
      <c r="G12" s="5">
        <v>5</v>
      </c>
      <c r="H12" s="5">
        <v>8</v>
      </c>
      <c r="I12" s="5" t="e" vm="10">
        <v>#VALUE!</v>
      </c>
      <c r="J12" s="5" t="s">
        <v>33</v>
      </c>
      <c r="K12" s="5" t="s">
        <v>34</v>
      </c>
      <c r="L12" s="5" t="s">
        <v>64</v>
      </c>
      <c r="M12" s="5" t="s">
        <v>65</v>
      </c>
      <c r="N12" s="5" t="s">
        <v>51</v>
      </c>
      <c r="O12" s="6">
        <v>40105</v>
      </c>
      <c r="P12" s="5" t="s">
        <v>38</v>
      </c>
      <c r="Q12" s="8" t="s">
        <v>109</v>
      </c>
      <c r="R12" s="5">
        <v>8765234120</v>
      </c>
      <c r="S12" s="5" t="s">
        <v>54</v>
      </c>
      <c r="T12" s="5" t="s">
        <v>55</v>
      </c>
      <c r="U12" s="5" t="s">
        <v>56</v>
      </c>
      <c r="V12" s="5">
        <v>55000</v>
      </c>
      <c r="W12" s="5">
        <v>5399</v>
      </c>
      <c r="X12" s="5">
        <v>2006</v>
      </c>
      <c r="Y12" s="5">
        <v>1984</v>
      </c>
      <c r="Z12" s="5">
        <v>15278</v>
      </c>
      <c r="AA12" s="5"/>
    </row>
    <row r="13" spans="1:27">
      <c r="A13" s="5" t="s">
        <v>110</v>
      </c>
      <c r="B13" s="4" t="s">
        <v>111</v>
      </c>
      <c r="C13" s="5" t="s">
        <v>151</v>
      </c>
      <c r="D13" s="5">
        <v>31</v>
      </c>
      <c r="E13" s="6">
        <v>45116</v>
      </c>
      <c r="F13" s="6" t="s">
        <v>48</v>
      </c>
      <c r="G13" s="5">
        <v>5</v>
      </c>
      <c r="H13" s="5">
        <v>7</v>
      </c>
      <c r="I13" s="5" t="e" vm="11">
        <v>#VALUE!</v>
      </c>
      <c r="J13" s="5" t="s">
        <v>33</v>
      </c>
      <c r="K13" s="5" t="s">
        <v>34</v>
      </c>
      <c r="L13" s="5" t="s">
        <v>35</v>
      </c>
      <c r="M13" s="5" t="s">
        <v>36</v>
      </c>
      <c r="N13" s="5" t="s">
        <v>66</v>
      </c>
      <c r="O13" s="6">
        <v>41235</v>
      </c>
      <c r="P13" s="5" t="s">
        <v>52</v>
      </c>
      <c r="Q13" s="8" t="s">
        <v>114</v>
      </c>
      <c r="R13" s="5">
        <v>9808602317</v>
      </c>
      <c r="S13" s="5" t="s">
        <v>69</v>
      </c>
      <c r="T13" s="5" t="s">
        <v>70</v>
      </c>
      <c r="U13" s="5" t="s">
        <v>42</v>
      </c>
      <c r="V13" s="5">
        <v>42000</v>
      </c>
      <c r="W13" s="5">
        <v>5836</v>
      </c>
      <c r="X13" s="5">
        <v>2233</v>
      </c>
      <c r="Y13" s="5">
        <v>1115</v>
      </c>
      <c r="Z13" s="5">
        <v>15838</v>
      </c>
      <c r="AA13" s="5"/>
    </row>
    <row r="14" spans="1:27">
      <c r="A14" s="5" t="s">
        <v>115</v>
      </c>
      <c r="B14" s="5" t="s">
        <v>116</v>
      </c>
      <c r="C14" s="5" t="s">
        <v>152</v>
      </c>
      <c r="D14" s="5">
        <v>34</v>
      </c>
      <c r="E14" s="6">
        <v>45495</v>
      </c>
      <c r="F14" s="6" t="s">
        <v>62</v>
      </c>
      <c r="G14" s="5">
        <v>4</v>
      </c>
      <c r="H14" s="5">
        <v>8</v>
      </c>
      <c r="I14" s="5" t="e" vm="12">
        <v>#VALUE!</v>
      </c>
      <c r="J14" s="5" t="s">
        <v>33</v>
      </c>
      <c r="K14" s="5" t="s">
        <v>63</v>
      </c>
      <c r="L14" s="5" t="s">
        <v>49</v>
      </c>
      <c r="M14" s="5" t="s">
        <v>36</v>
      </c>
      <c r="N14" s="5" t="s">
        <v>37</v>
      </c>
      <c r="O14" s="6">
        <v>42420</v>
      </c>
      <c r="P14" s="5" t="s">
        <v>67</v>
      </c>
      <c r="Q14" s="8" t="s">
        <v>118</v>
      </c>
      <c r="R14" s="5">
        <v>9010302040</v>
      </c>
      <c r="S14" s="5" t="s">
        <v>40</v>
      </c>
      <c r="T14" s="5" t="s">
        <v>41</v>
      </c>
      <c r="U14" s="5" t="s">
        <v>56</v>
      </c>
      <c r="V14" s="5">
        <v>37000</v>
      </c>
      <c r="W14" s="5">
        <v>3391</v>
      </c>
      <c r="X14" s="5">
        <v>2385</v>
      </c>
      <c r="Y14" s="5">
        <v>2371</v>
      </c>
      <c r="Z14" s="5">
        <v>10211</v>
      </c>
      <c r="AA14" s="5"/>
    </row>
    <row r="15" spans="1:27">
      <c r="A15" s="5" t="s">
        <v>119</v>
      </c>
      <c r="B15" s="4" t="s">
        <v>120</v>
      </c>
      <c r="C15" s="5" t="s">
        <v>151</v>
      </c>
      <c r="D15" s="5">
        <v>21</v>
      </c>
      <c r="E15" s="6">
        <v>44433</v>
      </c>
      <c r="F15" s="6" t="s">
        <v>76</v>
      </c>
      <c r="G15" s="5">
        <v>5</v>
      </c>
      <c r="H15" s="5">
        <v>6</v>
      </c>
      <c r="I15" s="5" t="e" vm="13">
        <v>#VALUE!</v>
      </c>
      <c r="J15" s="5" t="s">
        <v>33</v>
      </c>
      <c r="K15" s="5" t="s">
        <v>34</v>
      </c>
      <c r="L15" s="5" t="s">
        <v>64</v>
      </c>
      <c r="M15" s="5" t="s">
        <v>50</v>
      </c>
      <c r="N15" s="5" t="s">
        <v>66</v>
      </c>
      <c r="O15" s="6">
        <v>43340</v>
      </c>
      <c r="P15" s="5" t="s">
        <v>77</v>
      </c>
      <c r="Q15" s="8" t="s">
        <v>123</v>
      </c>
      <c r="R15" s="5">
        <v>9854320286</v>
      </c>
      <c r="S15" s="5" t="s">
        <v>54</v>
      </c>
      <c r="T15" s="5" t="s">
        <v>55</v>
      </c>
      <c r="U15" s="5" t="s">
        <v>42</v>
      </c>
      <c r="V15" s="5">
        <v>40000</v>
      </c>
      <c r="W15" s="5">
        <v>2322</v>
      </c>
      <c r="X15" s="5">
        <v>2013</v>
      </c>
      <c r="Y15" s="5">
        <v>1548</v>
      </c>
      <c r="Z15" s="5">
        <v>11267</v>
      </c>
      <c r="AA15" s="5"/>
    </row>
    <row r="16" spans="1:27">
      <c r="A16" s="5" t="s">
        <v>124</v>
      </c>
      <c r="B16" s="4" t="s">
        <v>125</v>
      </c>
      <c r="C16" s="5" t="s">
        <v>152</v>
      </c>
      <c r="D16" s="5">
        <v>24</v>
      </c>
      <c r="E16" s="6">
        <v>45988</v>
      </c>
      <c r="F16" s="5" t="s">
        <v>84</v>
      </c>
      <c r="G16" s="5">
        <v>5</v>
      </c>
      <c r="H16" s="5">
        <v>6</v>
      </c>
      <c r="I16" s="5" t="e" vm="14">
        <v>#VALUE!</v>
      </c>
      <c r="J16" s="5" t="s">
        <v>33</v>
      </c>
      <c r="K16" s="5" t="s">
        <v>63</v>
      </c>
      <c r="L16" s="5" t="s">
        <v>35</v>
      </c>
      <c r="M16" s="5" t="s">
        <v>65</v>
      </c>
      <c r="N16" s="5" t="s">
        <v>66</v>
      </c>
      <c r="O16" s="6">
        <v>40643</v>
      </c>
      <c r="P16" s="5" t="s">
        <v>38</v>
      </c>
      <c r="Q16" s="8" t="s">
        <v>128</v>
      </c>
      <c r="R16" s="5">
        <v>9027202587</v>
      </c>
      <c r="S16" s="5" t="s">
        <v>69</v>
      </c>
      <c r="T16" s="5" t="s">
        <v>70</v>
      </c>
      <c r="U16" s="5" t="s">
        <v>56</v>
      </c>
      <c r="V16" s="5">
        <v>38000</v>
      </c>
      <c r="W16" s="5">
        <v>4512</v>
      </c>
      <c r="X16" s="5">
        <v>1660</v>
      </c>
      <c r="Y16" s="5">
        <v>2582</v>
      </c>
      <c r="Z16" s="5">
        <v>13514</v>
      </c>
      <c r="AA16" s="5"/>
    </row>
    <row r="17" spans="1:27">
      <c r="A17" s="5" t="s">
        <v>129</v>
      </c>
      <c r="B17" s="4" t="s">
        <v>130</v>
      </c>
      <c r="C17" s="5" t="s">
        <v>152</v>
      </c>
      <c r="D17" s="5">
        <v>32</v>
      </c>
      <c r="E17" s="6">
        <v>44273</v>
      </c>
      <c r="F17" s="6" t="s">
        <v>32</v>
      </c>
      <c r="G17" s="5">
        <v>3</v>
      </c>
      <c r="H17" s="5">
        <v>7</v>
      </c>
      <c r="I17" s="5" t="e" vm="11">
        <v>#VALUE!</v>
      </c>
      <c r="J17" s="5" t="s">
        <v>33</v>
      </c>
      <c r="K17" s="5" t="s">
        <v>34</v>
      </c>
      <c r="L17" s="5" t="s">
        <v>49</v>
      </c>
      <c r="M17" s="5" t="s">
        <v>65</v>
      </c>
      <c r="N17" s="5" t="s">
        <v>51</v>
      </c>
      <c r="O17" s="6">
        <v>41277</v>
      </c>
      <c r="P17" s="5" t="s">
        <v>52</v>
      </c>
      <c r="Q17" s="8" t="s">
        <v>132</v>
      </c>
      <c r="R17" s="5">
        <v>8785818089</v>
      </c>
      <c r="S17" s="5" t="s">
        <v>40</v>
      </c>
      <c r="T17" s="5" t="s">
        <v>41</v>
      </c>
      <c r="U17" s="5" t="s">
        <v>42</v>
      </c>
      <c r="V17" s="5">
        <v>34000</v>
      </c>
      <c r="W17" s="5">
        <v>3878</v>
      </c>
      <c r="X17" s="5">
        <v>1816</v>
      </c>
      <c r="Y17" s="5">
        <v>2189</v>
      </c>
      <c r="Z17" s="5">
        <v>14132</v>
      </c>
      <c r="AA17" s="5"/>
    </row>
    <row r="18" spans="1:27">
      <c r="A18" s="5" t="s">
        <v>133</v>
      </c>
      <c r="B18" s="5" t="s">
        <v>134</v>
      </c>
      <c r="C18" s="5" t="s">
        <v>151</v>
      </c>
      <c r="D18" s="5">
        <v>26</v>
      </c>
      <c r="E18" s="6">
        <v>45675</v>
      </c>
      <c r="F18" s="6" t="s">
        <v>48</v>
      </c>
      <c r="G18" s="5">
        <v>3</v>
      </c>
      <c r="H18" s="5">
        <v>8</v>
      </c>
      <c r="I18" s="5" t="e" vm="12">
        <v>#VALUE!</v>
      </c>
      <c r="J18" s="5" t="s">
        <v>33</v>
      </c>
      <c r="K18" s="5" t="s">
        <v>34</v>
      </c>
      <c r="L18" s="5" t="s">
        <v>49</v>
      </c>
      <c r="M18" s="5" t="s">
        <v>36</v>
      </c>
      <c r="N18" s="5" t="s">
        <v>37</v>
      </c>
      <c r="O18" s="6">
        <v>38276</v>
      </c>
      <c r="P18" s="5" t="s">
        <v>67</v>
      </c>
      <c r="Q18" s="8" t="s">
        <v>136</v>
      </c>
      <c r="R18" s="5">
        <v>8087812367</v>
      </c>
      <c r="S18" s="5" t="s">
        <v>54</v>
      </c>
      <c r="T18" s="5" t="s">
        <v>55</v>
      </c>
      <c r="U18" s="5" t="s">
        <v>56</v>
      </c>
      <c r="V18" s="5">
        <v>36000</v>
      </c>
      <c r="W18" s="5">
        <v>5168</v>
      </c>
      <c r="X18" s="5">
        <v>1925</v>
      </c>
      <c r="Y18" s="5">
        <v>1935</v>
      </c>
      <c r="Z18" s="5">
        <v>10916</v>
      </c>
      <c r="AA18" s="5"/>
    </row>
    <row r="19" spans="1:27">
      <c r="A19" s="5" t="s">
        <v>137</v>
      </c>
      <c r="B19" s="5" t="s">
        <v>138</v>
      </c>
      <c r="C19" s="5" t="s">
        <v>152</v>
      </c>
      <c r="D19" s="5">
        <v>30</v>
      </c>
      <c r="E19" s="6">
        <v>44758</v>
      </c>
      <c r="F19" s="6" t="s">
        <v>62</v>
      </c>
      <c r="G19" s="5">
        <v>4</v>
      </c>
      <c r="H19" s="5">
        <v>5</v>
      </c>
      <c r="I19" s="5" t="e" vm="13">
        <v>#VALUE!</v>
      </c>
      <c r="J19" s="5" t="s">
        <v>33</v>
      </c>
      <c r="K19" s="5" t="s">
        <v>63</v>
      </c>
      <c r="L19" s="5" t="s">
        <v>64</v>
      </c>
      <c r="M19" s="5" t="s">
        <v>50</v>
      </c>
      <c r="N19" s="5" t="s">
        <v>66</v>
      </c>
      <c r="O19" s="6">
        <v>40128</v>
      </c>
      <c r="P19" s="5" t="s">
        <v>52</v>
      </c>
      <c r="Q19" s="8" t="s">
        <v>140</v>
      </c>
      <c r="R19" s="5">
        <v>8123456780</v>
      </c>
      <c r="S19" s="5" t="s">
        <v>69</v>
      </c>
      <c r="T19" s="5" t="s">
        <v>70</v>
      </c>
      <c r="U19" s="5" t="s">
        <v>42</v>
      </c>
      <c r="V19" s="5">
        <v>46000</v>
      </c>
      <c r="W19" s="5">
        <v>4723</v>
      </c>
      <c r="X19" s="5">
        <v>2454</v>
      </c>
      <c r="Y19" s="5">
        <v>2159</v>
      </c>
      <c r="Z19" s="5">
        <v>12524</v>
      </c>
      <c r="AA19" s="5"/>
    </row>
    <row r="20" spans="1:27">
      <c r="A20" s="5" t="s">
        <v>141</v>
      </c>
      <c r="B20" s="4" t="s">
        <v>142</v>
      </c>
      <c r="C20" s="5" t="s">
        <v>152</v>
      </c>
      <c r="D20" s="5">
        <v>27</v>
      </c>
      <c r="E20" s="6">
        <v>46005</v>
      </c>
      <c r="F20" s="6" t="s">
        <v>76</v>
      </c>
      <c r="G20" s="5">
        <v>5</v>
      </c>
      <c r="H20" s="5">
        <v>6</v>
      </c>
      <c r="I20" s="5" t="e" vm="14">
        <v>#VALUE!</v>
      </c>
      <c r="J20" s="5" t="s">
        <v>33</v>
      </c>
      <c r="K20" s="5" t="s">
        <v>34</v>
      </c>
      <c r="L20" s="5" t="s">
        <v>49</v>
      </c>
      <c r="M20" s="5" t="s">
        <v>65</v>
      </c>
      <c r="N20" s="5" t="s">
        <v>51</v>
      </c>
      <c r="O20" s="6">
        <v>40643</v>
      </c>
      <c r="P20" s="5" t="s">
        <v>38</v>
      </c>
      <c r="Q20" s="8" t="s">
        <v>143</v>
      </c>
      <c r="R20" s="5">
        <v>9087654321</v>
      </c>
      <c r="S20" s="5" t="s">
        <v>40</v>
      </c>
      <c r="T20" s="5" t="s">
        <v>41</v>
      </c>
      <c r="U20" s="5" t="s">
        <v>42</v>
      </c>
      <c r="V20" s="5">
        <v>32000</v>
      </c>
      <c r="W20" s="5">
        <v>2879</v>
      </c>
      <c r="X20" s="5">
        <v>2169</v>
      </c>
      <c r="Y20" s="5">
        <v>1695</v>
      </c>
      <c r="Z20" s="5">
        <v>14418</v>
      </c>
      <c r="AA20" s="5"/>
    </row>
    <row r="21" spans="1:27">
      <c r="A21" s="5" t="s">
        <v>144</v>
      </c>
      <c r="B21" s="4" t="s">
        <v>145</v>
      </c>
      <c r="C21" s="5" t="s">
        <v>151</v>
      </c>
      <c r="D21" s="5">
        <v>35</v>
      </c>
      <c r="E21" s="6">
        <v>45283</v>
      </c>
      <c r="F21" s="5" t="s">
        <v>84</v>
      </c>
      <c r="G21" s="5">
        <v>4</v>
      </c>
      <c r="H21" s="5">
        <v>9</v>
      </c>
      <c r="I21" s="5" t="e" vm="13">
        <v>#VALUE!</v>
      </c>
      <c r="J21" s="5" t="s">
        <v>33</v>
      </c>
      <c r="K21" s="5" t="s">
        <v>63</v>
      </c>
      <c r="L21" s="5" t="s">
        <v>49</v>
      </c>
      <c r="M21" s="5" t="s">
        <v>65</v>
      </c>
      <c r="N21" s="5" t="s">
        <v>66</v>
      </c>
      <c r="O21" s="6">
        <v>37415</v>
      </c>
      <c r="P21" s="5" t="s">
        <v>52</v>
      </c>
      <c r="Q21" s="8" t="s">
        <v>147</v>
      </c>
      <c r="R21" s="5">
        <v>8292939495</v>
      </c>
      <c r="S21" s="5" t="s">
        <v>54</v>
      </c>
      <c r="T21" s="5" t="s">
        <v>55</v>
      </c>
      <c r="U21" s="5" t="s">
        <v>56</v>
      </c>
      <c r="V21" s="5">
        <v>50000</v>
      </c>
      <c r="W21" s="5">
        <v>4261</v>
      </c>
      <c r="X21" s="5">
        <v>2048</v>
      </c>
      <c r="Y21" s="5">
        <v>2951</v>
      </c>
      <c r="Z21" s="5">
        <v>15996</v>
      </c>
      <c r="AA21" s="5"/>
    </row>
  </sheetData>
  <hyperlinks>
    <hyperlink ref="Q2" r:id="rId1" xr:uid="{0417997E-C682-494F-9901-0B681A1E1015}"/>
    <hyperlink ref="Q3" r:id="rId2" xr:uid="{4FED7D7E-A7D2-4D49-A393-60FE6A8D4D29}"/>
    <hyperlink ref="Q4" r:id="rId3" xr:uid="{3A193AF0-A5C9-4DF5-876C-D17380903C9E}"/>
    <hyperlink ref="Q5" r:id="rId4" xr:uid="{CF15DA90-B372-4A1A-BE0A-8E10293B065E}"/>
    <hyperlink ref="Q6" r:id="rId5" xr:uid="{5D439D58-8FAC-423D-AA7C-18CE930225B7}"/>
    <hyperlink ref="Q7" r:id="rId6" xr:uid="{50327CB1-B79A-4453-9640-FBE68D52D08F}"/>
    <hyperlink ref="Q8" r:id="rId7" xr:uid="{D9F813B2-73D2-4225-A6AE-81BC5813CD98}"/>
    <hyperlink ref="Q9" r:id="rId8" xr:uid="{7BCDF2A1-DC8F-4B44-AED6-3BD50A87BB0E}"/>
    <hyperlink ref="Q10" r:id="rId9" xr:uid="{B08E9F3D-B482-49E1-ABFB-B4106A26196A}"/>
    <hyperlink ref="Q11" r:id="rId10" xr:uid="{82CC44FD-0D7A-4BF3-B64A-FA03C844DCA2}"/>
    <hyperlink ref="Q12" r:id="rId11" xr:uid="{B8E04569-05C0-4282-AEB5-90479613221B}"/>
    <hyperlink ref="Q13" r:id="rId12" xr:uid="{FBB6095F-E6AF-4862-B469-48140F4A1DC2}"/>
    <hyperlink ref="Q14" r:id="rId13" xr:uid="{F82FD018-22A6-4730-92B7-0E324D0AFE4E}"/>
    <hyperlink ref="Q15" r:id="rId14" xr:uid="{07DC1E44-F3FB-4AA8-92B3-8DC71F903E91}"/>
    <hyperlink ref="Q16" r:id="rId15" xr:uid="{D945F5C0-D2DE-4ADD-BB85-CE76119513F7}"/>
    <hyperlink ref="Q17" r:id="rId16" xr:uid="{CE3917DD-C627-4260-A1E4-9DC92484537C}"/>
    <hyperlink ref="Q18" r:id="rId17" xr:uid="{E800E147-EB30-4B70-BC06-E0A2615A172C}"/>
    <hyperlink ref="Q19" r:id="rId18" xr:uid="{DCB4EE0B-F268-4F4C-B813-FDD417010905}"/>
    <hyperlink ref="Q20" r:id="rId19" xr:uid="{134A77F9-B552-44CF-8D71-60A0E95A4358}"/>
    <hyperlink ref="Q21" r:id="rId20" xr:uid="{65729C4D-6CA4-4971-98F1-930EEB3C587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9A006-40F0-4FAB-AE67-D52CB44BBE55}">
  <dimension ref="A1:AB24"/>
  <sheetViews>
    <sheetView workbookViewId="0"/>
  </sheetViews>
  <sheetFormatPr defaultRowHeight="15"/>
  <cols>
    <col min="1" max="1" width="15" bestFit="1" customWidth="1"/>
    <col min="2" max="2" width="18.7109375" bestFit="1" customWidth="1"/>
    <col min="3" max="3" width="10" bestFit="1" customWidth="1"/>
    <col min="4" max="4" width="6.7109375" bestFit="1" customWidth="1"/>
    <col min="5" max="5" width="15" bestFit="1" customWidth="1"/>
    <col min="6" max="6" width="19.7109375" bestFit="1" customWidth="1"/>
    <col min="7" max="7" width="21.7109375" bestFit="1" customWidth="1"/>
    <col min="8" max="8" width="14.140625" bestFit="1" customWidth="1"/>
    <col min="9" max="9" width="17.42578125" bestFit="1" customWidth="1"/>
    <col min="10" max="10" width="21.5703125" bestFit="1" customWidth="1"/>
    <col min="11" max="11" width="16.42578125" bestFit="1" customWidth="1"/>
    <col min="12" max="12" width="14.5703125" bestFit="1" customWidth="1"/>
    <col min="13" max="13" width="12.28515625" bestFit="1" customWidth="1"/>
    <col min="14" max="14" width="15.140625" bestFit="1" customWidth="1"/>
    <col min="15" max="15" width="16.140625" bestFit="1" customWidth="1"/>
    <col min="16" max="16" width="15.7109375" bestFit="1" customWidth="1"/>
    <col min="17" max="17" width="33.28515625" style="7" bestFit="1" customWidth="1"/>
    <col min="18" max="18" width="17.5703125" bestFit="1" customWidth="1"/>
    <col min="19" max="19" width="12.42578125" bestFit="1" customWidth="1"/>
    <col min="20" max="20" width="17.42578125" bestFit="1" customWidth="1"/>
    <col min="21" max="21" width="21.28515625" bestFit="1" customWidth="1"/>
    <col min="22" max="22" width="14.28515625" bestFit="1" customWidth="1"/>
    <col min="23" max="23" width="22.7109375" bestFit="1" customWidth="1"/>
    <col min="24" max="24" width="21.140625" bestFit="1" customWidth="1"/>
    <col min="25" max="25" width="10.28515625" bestFit="1" customWidth="1"/>
    <col min="26" max="26" width="30.85546875" bestFit="1" customWidth="1"/>
    <col min="27" max="27" width="13.140625" bestFit="1" customWidth="1"/>
    <col min="28" max="28" width="16.42578125" bestFit="1" customWidth="1"/>
  </cols>
  <sheetData>
    <row r="1" spans="1:28" s="44" customFormat="1">
      <c r="A1" s="40" t="s">
        <v>0</v>
      </c>
      <c r="B1" s="41" t="s">
        <v>1</v>
      </c>
      <c r="C1" s="41" t="s">
        <v>148</v>
      </c>
      <c r="D1" s="42" t="s">
        <v>149</v>
      </c>
      <c r="E1" s="41" t="s">
        <v>5</v>
      </c>
      <c r="F1" s="41" t="s">
        <v>6</v>
      </c>
      <c r="G1" s="42" t="s">
        <v>7</v>
      </c>
      <c r="H1" s="42" t="s">
        <v>8</v>
      </c>
      <c r="I1" s="42" t="s">
        <v>9</v>
      </c>
      <c r="J1" s="42" t="s">
        <v>10</v>
      </c>
      <c r="K1" s="42" t="s">
        <v>11</v>
      </c>
      <c r="L1" s="41" t="s">
        <v>12</v>
      </c>
      <c r="M1" s="41" t="s">
        <v>13</v>
      </c>
      <c r="N1" s="41" t="s">
        <v>14</v>
      </c>
      <c r="O1" s="41" t="s">
        <v>15</v>
      </c>
      <c r="P1" s="41" t="s">
        <v>16</v>
      </c>
      <c r="Q1" s="41" t="s">
        <v>17</v>
      </c>
      <c r="R1" s="41" t="s">
        <v>18</v>
      </c>
      <c r="S1" s="41" t="s">
        <v>19</v>
      </c>
      <c r="T1" s="41" t="s">
        <v>20</v>
      </c>
      <c r="U1" s="41" t="s">
        <v>21</v>
      </c>
      <c r="V1" s="41" t="s">
        <v>22</v>
      </c>
      <c r="W1" s="41" t="s">
        <v>23</v>
      </c>
      <c r="X1" s="41" t="s">
        <v>24</v>
      </c>
      <c r="Y1" s="41" t="s">
        <v>25</v>
      </c>
      <c r="Z1" s="41" t="s">
        <v>26</v>
      </c>
      <c r="AA1" s="41" t="s">
        <v>153</v>
      </c>
      <c r="AB1" s="43" t="s">
        <v>154</v>
      </c>
    </row>
    <row r="2" spans="1:28">
      <c r="A2" s="20" t="s">
        <v>27</v>
      </c>
      <c r="B2" s="11" t="s">
        <v>150</v>
      </c>
      <c r="C2" s="11" t="s">
        <v>151</v>
      </c>
      <c r="D2" s="11">
        <v>39</v>
      </c>
      <c r="E2" s="12">
        <v>44681</v>
      </c>
      <c r="F2" s="12" t="s">
        <v>32</v>
      </c>
      <c r="G2" s="11">
        <v>4</v>
      </c>
      <c r="H2" s="11">
        <v>5</v>
      </c>
      <c r="I2" s="11" t="e" vm="1">
        <v>#VALUE!</v>
      </c>
      <c r="J2" s="11" t="s">
        <v>33</v>
      </c>
      <c r="K2" s="11" t="s">
        <v>34</v>
      </c>
      <c r="L2" s="11" t="s">
        <v>35</v>
      </c>
      <c r="M2" s="11" t="s">
        <v>36</v>
      </c>
      <c r="N2" s="11" t="s">
        <v>37</v>
      </c>
      <c r="O2" s="12">
        <v>39270</v>
      </c>
      <c r="P2" s="11" t="s">
        <v>38</v>
      </c>
      <c r="Q2" s="25" t="s">
        <v>39</v>
      </c>
      <c r="R2" s="11">
        <v>8976543210</v>
      </c>
      <c r="S2" s="11" t="s">
        <v>40</v>
      </c>
      <c r="T2" s="11" t="s">
        <v>41</v>
      </c>
      <c r="U2" s="11" t="s">
        <v>42</v>
      </c>
      <c r="V2" s="13">
        <v>28000</v>
      </c>
      <c r="W2" s="13">
        <v>2835</v>
      </c>
      <c r="X2" s="13">
        <v>2007</v>
      </c>
      <c r="Y2" s="13">
        <v>2185</v>
      </c>
      <c r="Z2" s="13">
        <v>12287</v>
      </c>
      <c r="AA2" s="14">
        <f>SUM(V2,W2,X2,Y2,Z2)</f>
        <v>47314</v>
      </c>
      <c r="AB2" s="22">
        <f>AA2*12</f>
        <v>567768</v>
      </c>
    </row>
    <row r="3" spans="1:28">
      <c r="A3" s="20" t="s">
        <v>43</v>
      </c>
      <c r="B3" s="10" t="s">
        <v>44</v>
      </c>
      <c r="C3" s="11" t="s">
        <v>151</v>
      </c>
      <c r="D3" s="11">
        <v>34</v>
      </c>
      <c r="E3" s="12">
        <v>45403</v>
      </c>
      <c r="F3" s="12" t="s">
        <v>48</v>
      </c>
      <c r="G3" s="11">
        <v>3</v>
      </c>
      <c r="H3" s="11">
        <v>5</v>
      </c>
      <c r="I3" s="11" t="e" vm="2">
        <v>#VALUE!</v>
      </c>
      <c r="J3" s="11" t="s">
        <v>33</v>
      </c>
      <c r="K3" s="11" t="s">
        <v>34</v>
      </c>
      <c r="L3" s="11" t="s">
        <v>49</v>
      </c>
      <c r="M3" s="11" t="s">
        <v>50</v>
      </c>
      <c r="N3" s="11" t="s">
        <v>51</v>
      </c>
      <c r="O3" s="12">
        <v>41114</v>
      </c>
      <c r="P3" s="11" t="s">
        <v>52</v>
      </c>
      <c r="Q3" s="25" t="s">
        <v>53</v>
      </c>
      <c r="R3" s="11">
        <v>9854362109</v>
      </c>
      <c r="S3" s="11" t="s">
        <v>54</v>
      </c>
      <c r="T3" s="11" t="s">
        <v>55</v>
      </c>
      <c r="U3" s="11" t="s">
        <v>56</v>
      </c>
      <c r="V3" s="13">
        <v>33000</v>
      </c>
      <c r="W3" s="13">
        <v>3133</v>
      </c>
      <c r="X3" s="13">
        <v>1870</v>
      </c>
      <c r="Y3" s="13">
        <v>1802</v>
      </c>
      <c r="Z3" s="13">
        <v>9740</v>
      </c>
      <c r="AA3" s="14">
        <f t="shared" ref="AA3:AA21" si="0">SUM(V3,W3,X3,Y3,Z3)</f>
        <v>49545</v>
      </c>
      <c r="AB3" s="22">
        <f t="shared" ref="AB3:AB21" si="1">AA3*12</f>
        <v>594540</v>
      </c>
    </row>
    <row r="4" spans="1:28">
      <c r="A4" s="20" t="s">
        <v>57</v>
      </c>
      <c r="B4" s="11" t="s">
        <v>58</v>
      </c>
      <c r="C4" s="11" t="s">
        <v>152</v>
      </c>
      <c r="D4" s="11">
        <v>27</v>
      </c>
      <c r="E4" s="12">
        <v>45595</v>
      </c>
      <c r="F4" s="12" t="s">
        <v>62</v>
      </c>
      <c r="G4" s="11">
        <v>4</v>
      </c>
      <c r="H4" s="11">
        <v>8</v>
      </c>
      <c r="I4" s="11" t="e" vm="1">
        <v>#VALUE!</v>
      </c>
      <c r="J4" s="11" t="s">
        <v>33</v>
      </c>
      <c r="K4" s="11" t="s">
        <v>63</v>
      </c>
      <c r="L4" s="11" t="s">
        <v>64</v>
      </c>
      <c r="M4" s="11" t="s">
        <v>65</v>
      </c>
      <c r="N4" s="11" t="s">
        <v>66</v>
      </c>
      <c r="O4" s="12">
        <v>40810</v>
      </c>
      <c r="P4" s="11" t="s">
        <v>67</v>
      </c>
      <c r="Q4" s="25" t="s">
        <v>68</v>
      </c>
      <c r="R4" s="11">
        <v>9239456120</v>
      </c>
      <c r="S4" s="11" t="s">
        <v>69</v>
      </c>
      <c r="T4" s="11" t="s">
        <v>70</v>
      </c>
      <c r="U4" s="11" t="s">
        <v>42</v>
      </c>
      <c r="V4" s="13">
        <v>38000</v>
      </c>
      <c r="W4" s="13">
        <v>4320</v>
      </c>
      <c r="X4" s="13">
        <v>2147</v>
      </c>
      <c r="Y4" s="13">
        <v>2970</v>
      </c>
      <c r="Z4" s="13">
        <v>11982</v>
      </c>
      <c r="AA4" s="14">
        <f t="shared" si="0"/>
        <v>59419</v>
      </c>
      <c r="AB4" s="22">
        <f t="shared" si="1"/>
        <v>713028</v>
      </c>
    </row>
    <row r="5" spans="1:28">
      <c r="A5" s="20" t="s">
        <v>71</v>
      </c>
      <c r="B5" s="10" t="s">
        <v>72</v>
      </c>
      <c r="C5" s="11" t="s">
        <v>151</v>
      </c>
      <c r="D5" s="11">
        <v>40</v>
      </c>
      <c r="E5" s="12">
        <v>45116</v>
      </c>
      <c r="F5" s="12" t="s">
        <v>76</v>
      </c>
      <c r="G5" s="11">
        <v>4</v>
      </c>
      <c r="H5" s="11">
        <v>5</v>
      </c>
      <c r="I5" s="11" t="e" vm="3">
        <v>#VALUE!</v>
      </c>
      <c r="J5" s="11" t="s">
        <v>33</v>
      </c>
      <c r="K5" s="11" t="s">
        <v>34</v>
      </c>
      <c r="L5" s="11" t="s">
        <v>35</v>
      </c>
      <c r="M5" s="11" t="s">
        <v>36</v>
      </c>
      <c r="N5" s="11" t="s">
        <v>51</v>
      </c>
      <c r="O5" s="12">
        <v>38238</v>
      </c>
      <c r="P5" s="11" t="s">
        <v>77</v>
      </c>
      <c r="Q5" s="25" t="s">
        <v>78</v>
      </c>
      <c r="R5" s="11">
        <v>8142736904</v>
      </c>
      <c r="S5" s="11" t="s">
        <v>40</v>
      </c>
      <c r="T5" s="11" t="s">
        <v>41</v>
      </c>
      <c r="U5" s="11" t="s">
        <v>56</v>
      </c>
      <c r="V5" s="13">
        <v>30000</v>
      </c>
      <c r="W5" s="13">
        <v>2656</v>
      </c>
      <c r="X5" s="13">
        <v>1794</v>
      </c>
      <c r="Y5" s="13">
        <v>1509</v>
      </c>
      <c r="Z5" s="13">
        <v>13491</v>
      </c>
      <c r="AA5" s="14">
        <f t="shared" si="0"/>
        <v>49450</v>
      </c>
      <c r="AB5" s="22">
        <f t="shared" si="1"/>
        <v>593400</v>
      </c>
    </row>
    <row r="6" spans="1:28">
      <c r="A6" s="20" t="s">
        <v>79</v>
      </c>
      <c r="B6" s="10" t="s">
        <v>80</v>
      </c>
      <c r="C6" s="11" t="s">
        <v>152</v>
      </c>
      <c r="D6" s="11">
        <v>22</v>
      </c>
      <c r="E6" s="12">
        <v>45715</v>
      </c>
      <c r="F6" s="11" t="s">
        <v>84</v>
      </c>
      <c r="G6" s="11">
        <v>5</v>
      </c>
      <c r="H6" s="11">
        <v>7</v>
      </c>
      <c r="I6" s="11" t="e" vm="4">
        <v>#VALUE!</v>
      </c>
      <c r="J6" s="11" t="s">
        <v>33</v>
      </c>
      <c r="K6" s="11" t="s">
        <v>63</v>
      </c>
      <c r="L6" s="11" t="s">
        <v>49</v>
      </c>
      <c r="M6" s="11" t="s">
        <v>50</v>
      </c>
      <c r="N6" s="11" t="s">
        <v>37</v>
      </c>
      <c r="O6" s="12">
        <v>43361</v>
      </c>
      <c r="P6" s="11" t="s">
        <v>38</v>
      </c>
      <c r="Q6" s="25" t="s">
        <v>85</v>
      </c>
      <c r="R6" s="11">
        <v>8956633103</v>
      </c>
      <c r="S6" s="11" t="s">
        <v>54</v>
      </c>
      <c r="T6" s="11" t="s">
        <v>55</v>
      </c>
      <c r="U6" s="11" t="s">
        <v>42</v>
      </c>
      <c r="V6" s="13">
        <v>52000</v>
      </c>
      <c r="W6" s="13">
        <v>3674</v>
      </c>
      <c r="X6" s="13">
        <v>1800</v>
      </c>
      <c r="Y6" s="13">
        <v>1075</v>
      </c>
      <c r="Z6" s="13">
        <v>11935</v>
      </c>
      <c r="AA6" s="14">
        <f t="shared" si="0"/>
        <v>70484</v>
      </c>
      <c r="AB6" s="22">
        <f t="shared" si="1"/>
        <v>845808</v>
      </c>
    </row>
    <row r="7" spans="1:28">
      <c r="A7" s="20" t="s">
        <v>86</v>
      </c>
      <c r="B7" s="10" t="s">
        <v>87</v>
      </c>
      <c r="C7" s="11" t="s">
        <v>152</v>
      </c>
      <c r="D7" s="11">
        <v>23</v>
      </c>
      <c r="E7" s="12">
        <v>46156</v>
      </c>
      <c r="F7" s="12" t="s">
        <v>32</v>
      </c>
      <c r="G7" s="11">
        <v>4</v>
      </c>
      <c r="H7" s="11">
        <v>8</v>
      </c>
      <c r="I7" s="11" t="e" vm="5">
        <v>#VALUE!</v>
      </c>
      <c r="J7" s="11" t="s">
        <v>33</v>
      </c>
      <c r="K7" s="11" t="s">
        <v>34</v>
      </c>
      <c r="L7" s="11" t="s">
        <v>64</v>
      </c>
      <c r="M7" s="11" t="s">
        <v>65</v>
      </c>
      <c r="N7" s="11" t="s">
        <v>66</v>
      </c>
      <c r="O7" s="12">
        <v>39843</v>
      </c>
      <c r="P7" s="11" t="s">
        <v>52</v>
      </c>
      <c r="Q7" s="25" t="s">
        <v>91</v>
      </c>
      <c r="R7" s="11">
        <v>9175514319</v>
      </c>
      <c r="S7" s="11" t="s">
        <v>69</v>
      </c>
      <c r="T7" s="11" t="s">
        <v>70</v>
      </c>
      <c r="U7" s="11" t="s">
        <v>42</v>
      </c>
      <c r="V7" s="13">
        <v>45000</v>
      </c>
      <c r="W7" s="13">
        <v>5870</v>
      </c>
      <c r="X7" s="13">
        <v>1875</v>
      </c>
      <c r="Y7" s="13">
        <v>1113</v>
      </c>
      <c r="Z7" s="13">
        <v>11161</v>
      </c>
      <c r="AA7" s="14">
        <f t="shared" si="0"/>
        <v>65019</v>
      </c>
      <c r="AB7" s="22">
        <f t="shared" si="1"/>
        <v>780228</v>
      </c>
    </row>
    <row r="8" spans="1:28">
      <c r="A8" s="20" t="s">
        <v>92</v>
      </c>
      <c r="B8" s="11" t="s">
        <v>93</v>
      </c>
      <c r="C8" s="11" t="s">
        <v>152</v>
      </c>
      <c r="D8" s="11">
        <v>22</v>
      </c>
      <c r="E8" s="12">
        <v>44363</v>
      </c>
      <c r="F8" s="12" t="s">
        <v>48</v>
      </c>
      <c r="G8" s="11">
        <v>4</v>
      </c>
      <c r="H8" s="11">
        <v>7</v>
      </c>
      <c r="I8" s="11" t="e" vm="6">
        <v>#VALUE!</v>
      </c>
      <c r="J8" s="11" t="s">
        <v>33</v>
      </c>
      <c r="K8" s="11" t="s">
        <v>63</v>
      </c>
      <c r="L8" s="11" t="s">
        <v>49</v>
      </c>
      <c r="M8" s="11" t="s">
        <v>65</v>
      </c>
      <c r="N8" s="11" t="s">
        <v>37</v>
      </c>
      <c r="O8" s="12">
        <v>40675</v>
      </c>
      <c r="P8" s="11" t="s">
        <v>67</v>
      </c>
      <c r="Q8" s="25" t="s">
        <v>95</v>
      </c>
      <c r="R8" s="11">
        <v>9320792333</v>
      </c>
      <c r="S8" s="11" t="s">
        <v>40</v>
      </c>
      <c r="T8" s="11" t="s">
        <v>41</v>
      </c>
      <c r="U8" s="11" t="s">
        <v>56</v>
      </c>
      <c r="V8" s="13">
        <v>25000</v>
      </c>
      <c r="W8" s="13">
        <v>4236</v>
      </c>
      <c r="X8" s="13">
        <v>1479</v>
      </c>
      <c r="Y8" s="13">
        <v>1260</v>
      </c>
      <c r="Z8" s="13">
        <v>15956</v>
      </c>
      <c r="AA8" s="14">
        <f t="shared" si="0"/>
        <v>47931</v>
      </c>
      <c r="AB8" s="22">
        <f t="shared" si="1"/>
        <v>575172</v>
      </c>
    </row>
    <row r="9" spans="1:28">
      <c r="A9" s="20" t="s">
        <v>96</v>
      </c>
      <c r="B9" s="10" t="s">
        <v>97</v>
      </c>
      <c r="C9" s="11" t="s">
        <v>151</v>
      </c>
      <c r="D9" s="11">
        <v>40</v>
      </c>
      <c r="E9" s="12">
        <v>45727</v>
      </c>
      <c r="F9" s="12" t="s">
        <v>62</v>
      </c>
      <c r="G9" s="11">
        <v>4</v>
      </c>
      <c r="H9" s="11">
        <v>7</v>
      </c>
      <c r="I9" s="11" t="e" vm="7">
        <v>#VALUE!</v>
      </c>
      <c r="J9" s="11" t="s">
        <v>33</v>
      </c>
      <c r="K9" s="11" t="s">
        <v>63</v>
      </c>
      <c r="L9" s="11" t="s">
        <v>64</v>
      </c>
      <c r="M9" s="11" t="s">
        <v>36</v>
      </c>
      <c r="N9" s="11" t="s">
        <v>51</v>
      </c>
      <c r="O9" s="12">
        <v>41180</v>
      </c>
      <c r="P9" s="11" t="s">
        <v>77</v>
      </c>
      <c r="Q9" s="25" t="s">
        <v>99</v>
      </c>
      <c r="R9" s="11">
        <v>8108881430</v>
      </c>
      <c r="S9" s="11" t="s">
        <v>54</v>
      </c>
      <c r="T9" s="11" t="s">
        <v>55</v>
      </c>
      <c r="U9" s="11" t="s">
        <v>42</v>
      </c>
      <c r="V9" s="13">
        <v>48000</v>
      </c>
      <c r="W9" s="13">
        <v>4857</v>
      </c>
      <c r="X9" s="13">
        <v>2460</v>
      </c>
      <c r="Y9" s="13">
        <v>2814</v>
      </c>
      <c r="Z9" s="13">
        <v>10795</v>
      </c>
      <c r="AA9" s="14">
        <f t="shared" si="0"/>
        <v>68926</v>
      </c>
      <c r="AB9" s="22">
        <f t="shared" si="1"/>
        <v>827112</v>
      </c>
    </row>
    <row r="10" spans="1:28">
      <c r="A10" s="20" t="s">
        <v>100</v>
      </c>
      <c r="B10" s="10" t="s">
        <v>101</v>
      </c>
      <c r="C10" s="11" t="s">
        <v>152</v>
      </c>
      <c r="D10" s="11">
        <v>27</v>
      </c>
      <c r="E10" s="12">
        <v>44688</v>
      </c>
      <c r="F10" s="12" t="s">
        <v>76</v>
      </c>
      <c r="G10" s="11">
        <v>3</v>
      </c>
      <c r="H10" s="11">
        <v>5</v>
      </c>
      <c r="I10" s="11" t="e" vm="8">
        <v>#VALUE!</v>
      </c>
      <c r="J10" s="11" t="s">
        <v>33</v>
      </c>
      <c r="K10" s="11" t="s">
        <v>34</v>
      </c>
      <c r="L10" s="11" t="s">
        <v>35</v>
      </c>
      <c r="M10" s="11" t="s">
        <v>50</v>
      </c>
      <c r="N10" s="11" t="s">
        <v>66</v>
      </c>
      <c r="O10" s="12">
        <v>41882</v>
      </c>
      <c r="P10" s="11" t="s">
        <v>38</v>
      </c>
      <c r="Q10" s="25" t="s">
        <v>102</v>
      </c>
      <c r="R10" s="11">
        <v>9623120150</v>
      </c>
      <c r="S10" s="11" t="s">
        <v>69</v>
      </c>
      <c r="T10" s="11" t="s">
        <v>70</v>
      </c>
      <c r="U10" s="11" t="s">
        <v>56</v>
      </c>
      <c r="V10" s="13">
        <v>31000</v>
      </c>
      <c r="W10" s="13">
        <v>4746</v>
      </c>
      <c r="X10" s="13">
        <v>2490</v>
      </c>
      <c r="Y10" s="13">
        <v>1122</v>
      </c>
      <c r="Z10" s="13">
        <v>9064</v>
      </c>
      <c r="AA10" s="14">
        <f t="shared" si="0"/>
        <v>48422</v>
      </c>
      <c r="AB10" s="22">
        <f t="shared" si="1"/>
        <v>581064</v>
      </c>
    </row>
    <row r="11" spans="1:28">
      <c r="A11" s="20" t="s">
        <v>103</v>
      </c>
      <c r="B11" s="10" t="s">
        <v>104</v>
      </c>
      <c r="C11" s="11" t="s">
        <v>151</v>
      </c>
      <c r="D11" s="11">
        <v>39</v>
      </c>
      <c r="E11" s="12">
        <v>45947</v>
      </c>
      <c r="F11" s="11" t="s">
        <v>84</v>
      </c>
      <c r="G11" s="11">
        <v>5</v>
      </c>
      <c r="H11" s="11">
        <v>8</v>
      </c>
      <c r="I11" s="11" t="e" vm="9">
        <v>#VALUE!</v>
      </c>
      <c r="J11" s="11" t="s">
        <v>33</v>
      </c>
      <c r="K11" s="11" t="s">
        <v>63</v>
      </c>
      <c r="L11" s="11" t="s">
        <v>49</v>
      </c>
      <c r="M11" s="11" t="s">
        <v>65</v>
      </c>
      <c r="N11" s="11" t="s">
        <v>51</v>
      </c>
      <c r="O11" s="12">
        <v>39461</v>
      </c>
      <c r="P11" s="11" t="s">
        <v>77</v>
      </c>
      <c r="Q11" s="25" t="s">
        <v>105</v>
      </c>
      <c r="R11" s="11">
        <v>9832564390</v>
      </c>
      <c r="S11" s="11" t="s">
        <v>40</v>
      </c>
      <c r="T11" s="11" t="s">
        <v>41</v>
      </c>
      <c r="U11" s="11" t="s">
        <v>42</v>
      </c>
      <c r="V11" s="13">
        <v>29000</v>
      </c>
      <c r="W11" s="13">
        <v>4525</v>
      </c>
      <c r="X11" s="13">
        <v>2087</v>
      </c>
      <c r="Y11" s="13">
        <v>2358</v>
      </c>
      <c r="Z11" s="13">
        <v>15172</v>
      </c>
      <c r="AA11" s="14">
        <f t="shared" si="0"/>
        <v>53142</v>
      </c>
      <c r="AB11" s="22">
        <f t="shared" si="1"/>
        <v>637704</v>
      </c>
    </row>
    <row r="12" spans="1:28">
      <c r="A12" s="20" t="s">
        <v>106</v>
      </c>
      <c r="B12" s="10" t="s">
        <v>107</v>
      </c>
      <c r="C12" s="11" t="s">
        <v>152</v>
      </c>
      <c r="D12" s="11">
        <v>45</v>
      </c>
      <c r="E12" s="12">
        <v>44524</v>
      </c>
      <c r="F12" s="12" t="s">
        <v>32</v>
      </c>
      <c r="G12" s="11">
        <v>5</v>
      </c>
      <c r="H12" s="11">
        <v>8</v>
      </c>
      <c r="I12" s="11" t="e" vm="10">
        <v>#VALUE!</v>
      </c>
      <c r="J12" s="11" t="s">
        <v>33</v>
      </c>
      <c r="K12" s="11" t="s">
        <v>34</v>
      </c>
      <c r="L12" s="11" t="s">
        <v>64</v>
      </c>
      <c r="M12" s="11" t="s">
        <v>65</v>
      </c>
      <c r="N12" s="11" t="s">
        <v>51</v>
      </c>
      <c r="O12" s="12">
        <v>40105</v>
      </c>
      <c r="P12" s="11" t="s">
        <v>38</v>
      </c>
      <c r="Q12" s="25" t="s">
        <v>109</v>
      </c>
      <c r="R12" s="11">
        <v>8765234120</v>
      </c>
      <c r="S12" s="11" t="s">
        <v>54</v>
      </c>
      <c r="T12" s="11" t="s">
        <v>55</v>
      </c>
      <c r="U12" s="11" t="s">
        <v>56</v>
      </c>
      <c r="V12" s="13">
        <v>55000</v>
      </c>
      <c r="W12" s="13">
        <v>5399</v>
      </c>
      <c r="X12" s="13">
        <v>2006</v>
      </c>
      <c r="Y12" s="13">
        <v>1984</v>
      </c>
      <c r="Z12" s="13">
        <v>15278</v>
      </c>
      <c r="AA12" s="14">
        <f t="shared" si="0"/>
        <v>79667</v>
      </c>
      <c r="AB12" s="22">
        <f t="shared" si="1"/>
        <v>956004</v>
      </c>
    </row>
    <row r="13" spans="1:28">
      <c r="A13" s="20" t="s">
        <v>110</v>
      </c>
      <c r="B13" s="10" t="s">
        <v>111</v>
      </c>
      <c r="C13" s="11" t="s">
        <v>151</v>
      </c>
      <c r="D13" s="11">
        <v>31</v>
      </c>
      <c r="E13" s="12">
        <v>45116</v>
      </c>
      <c r="F13" s="12" t="s">
        <v>48</v>
      </c>
      <c r="G13" s="11">
        <v>5</v>
      </c>
      <c r="H13" s="11">
        <v>7</v>
      </c>
      <c r="I13" s="11" t="e" vm="11">
        <v>#VALUE!</v>
      </c>
      <c r="J13" s="11" t="s">
        <v>33</v>
      </c>
      <c r="K13" s="11" t="s">
        <v>34</v>
      </c>
      <c r="L13" s="11" t="s">
        <v>35</v>
      </c>
      <c r="M13" s="11" t="s">
        <v>36</v>
      </c>
      <c r="N13" s="11" t="s">
        <v>66</v>
      </c>
      <c r="O13" s="12">
        <v>41235</v>
      </c>
      <c r="P13" s="11" t="s">
        <v>52</v>
      </c>
      <c r="Q13" s="25" t="s">
        <v>114</v>
      </c>
      <c r="R13" s="11">
        <v>9808602317</v>
      </c>
      <c r="S13" s="11" t="s">
        <v>69</v>
      </c>
      <c r="T13" s="11" t="s">
        <v>70</v>
      </c>
      <c r="U13" s="11" t="s">
        <v>42</v>
      </c>
      <c r="V13" s="13">
        <v>42000</v>
      </c>
      <c r="W13" s="13">
        <v>5836</v>
      </c>
      <c r="X13" s="13">
        <v>2233</v>
      </c>
      <c r="Y13" s="13">
        <v>1115</v>
      </c>
      <c r="Z13" s="13">
        <v>15838</v>
      </c>
      <c r="AA13" s="14">
        <f t="shared" si="0"/>
        <v>67022</v>
      </c>
      <c r="AB13" s="22">
        <f t="shared" si="1"/>
        <v>804264</v>
      </c>
    </row>
    <row r="14" spans="1:28">
      <c r="A14" s="20" t="s">
        <v>115</v>
      </c>
      <c r="B14" s="11" t="s">
        <v>116</v>
      </c>
      <c r="C14" s="11" t="s">
        <v>152</v>
      </c>
      <c r="D14" s="11">
        <v>34</v>
      </c>
      <c r="E14" s="12">
        <v>45495</v>
      </c>
      <c r="F14" s="12" t="s">
        <v>62</v>
      </c>
      <c r="G14" s="11">
        <v>4</v>
      </c>
      <c r="H14" s="11">
        <v>8</v>
      </c>
      <c r="I14" s="11" t="e" vm="12">
        <v>#VALUE!</v>
      </c>
      <c r="J14" s="11" t="s">
        <v>33</v>
      </c>
      <c r="K14" s="11" t="s">
        <v>63</v>
      </c>
      <c r="L14" s="11" t="s">
        <v>49</v>
      </c>
      <c r="M14" s="11" t="s">
        <v>36</v>
      </c>
      <c r="N14" s="11" t="s">
        <v>37</v>
      </c>
      <c r="O14" s="12">
        <v>42420</v>
      </c>
      <c r="P14" s="11" t="s">
        <v>67</v>
      </c>
      <c r="Q14" s="25" t="s">
        <v>118</v>
      </c>
      <c r="R14" s="11">
        <v>9010302040</v>
      </c>
      <c r="S14" s="11" t="s">
        <v>40</v>
      </c>
      <c r="T14" s="11" t="s">
        <v>41</v>
      </c>
      <c r="U14" s="11" t="s">
        <v>56</v>
      </c>
      <c r="V14" s="13">
        <v>37000</v>
      </c>
      <c r="W14" s="13">
        <v>3391</v>
      </c>
      <c r="X14" s="13">
        <v>2385</v>
      </c>
      <c r="Y14" s="13">
        <v>2371</v>
      </c>
      <c r="Z14" s="13">
        <v>10211</v>
      </c>
      <c r="AA14" s="14">
        <f t="shared" si="0"/>
        <v>55358</v>
      </c>
      <c r="AB14" s="22">
        <f t="shared" si="1"/>
        <v>664296</v>
      </c>
    </row>
    <row r="15" spans="1:28">
      <c r="A15" s="20" t="s">
        <v>119</v>
      </c>
      <c r="B15" s="10" t="s">
        <v>120</v>
      </c>
      <c r="C15" s="11" t="s">
        <v>151</v>
      </c>
      <c r="D15" s="11">
        <v>21</v>
      </c>
      <c r="E15" s="12">
        <v>44433</v>
      </c>
      <c r="F15" s="12" t="s">
        <v>76</v>
      </c>
      <c r="G15" s="11">
        <v>5</v>
      </c>
      <c r="H15" s="11">
        <v>6</v>
      </c>
      <c r="I15" s="11" t="e" vm="13">
        <v>#VALUE!</v>
      </c>
      <c r="J15" s="11" t="s">
        <v>33</v>
      </c>
      <c r="K15" s="11" t="s">
        <v>34</v>
      </c>
      <c r="L15" s="11" t="s">
        <v>64</v>
      </c>
      <c r="M15" s="11" t="s">
        <v>50</v>
      </c>
      <c r="N15" s="11" t="s">
        <v>66</v>
      </c>
      <c r="O15" s="12">
        <v>43340</v>
      </c>
      <c r="P15" s="11" t="s">
        <v>77</v>
      </c>
      <c r="Q15" s="25" t="s">
        <v>123</v>
      </c>
      <c r="R15" s="11">
        <v>9854320286</v>
      </c>
      <c r="S15" s="11" t="s">
        <v>54</v>
      </c>
      <c r="T15" s="11" t="s">
        <v>55</v>
      </c>
      <c r="U15" s="11" t="s">
        <v>42</v>
      </c>
      <c r="V15" s="13">
        <v>40000</v>
      </c>
      <c r="W15" s="13">
        <v>2322</v>
      </c>
      <c r="X15" s="13">
        <v>2013</v>
      </c>
      <c r="Y15" s="13">
        <v>1548</v>
      </c>
      <c r="Z15" s="13">
        <v>11267</v>
      </c>
      <c r="AA15" s="14">
        <f t="shared" si="0"/>
        <v>57150</v>
      </c>
      <c r="AB15" s="22">
        <f t="shared" si="1"/>
        <v>685800</v>
      </c>
    </row>
    <row r="16" spans="1:28">
      <c r="A16" s="20" t="s">
        <v>124</v>
      </c>
      <c r="B16" s="10" t="s">
        <v>125</v>
      </c>
      <c r="C16" s="11" t="s">
        <v>152</v>
      </c>
      <c r="D16" s="11">
        <v>24</v>
      </c>
      <c r="E16" s="12">
        <v>45988</v>
      </c>
      <c r="F16" s="11" t="s">
        <v>84</v>
      </c>
      <c r="G16" s="11">
        <v>5</v>
      </c>
      <c r="H16" s="11">
        <v>6</v>
      </c>
      <c r="I16" s="11" t="e" vm="14">
        <v>#VALUE!</v>
      </c>
      <c r="J16" s="11" t="s">
        <v>33</v>
      </c>
      <c r="K16" s="11" t="s">
        <v>63</v>
      </c>
      <c r="L16" s="11" t="s">
        <v>35</v>
      </c>
      <c r="M16" s="11" t="s">
        <v>65</v>
      </c>
      <c r="N16" s="11" t="s">
        <v>66</v>
      </c>
      <c r="O16" s="12">
        <v>40643</v>
      </c>
      <c r="P16" s="11" t="s">
        <v>38</v>
      </c>
      <c r="Q16" s="25" t="s">
        <v>128</v>
      </c>
      <c r="R16" s="11">
        <v>9027202587</v>
      </c>
      <c r="S16" s="11" t="s">
        <v>69</v>
      </c>
      <c r="T16" s="11" t="s">
        <v>70</v>
      </c>
      <c r="U16" s="11" t="s">
        <v>56</v>
      </c>
      <c r="V16" s="13">
        <v>38000</v>
      </c>
      <c r="W16" s="13">
        <v>4512</v>
      </c>
      <c r="X16" s="13">
        <v>1660</v>
      </c>
      <c r="Y16" s="13">
        <v>2582</v>
      </c>
      <c r="Z16" s="13">
        <v>13514</v>
      </c>
      <c r="AA16" s="14">
        <f t="shared" si="0"/>
        <v>60268</v>
      </c>
      <c r="AB16" s="22">
        <f t="shared" si="1"/>
        <v>723216</v>
      </c>
    </row>
    <row r="17" spans="1:28">
      <c r="A17" s="20" t="s">
        <v>129</v>
      </c>
      <c r="B17" s="10" t="s">
        <v>130</v>
      </c>
      <c r="C17" s="11" t="s">
        <v>152</v>
      </c>
      <c r="D17" s="11">
        <v>32</v>
      </c>
      <c r="E17" s="12">
        <v>44273</v>
      </c>
      <c r="F17" s="12" t="s">
        <v>32</v>
      </c>
      <c r="G17" s="11">
        <v>3</v>
      </c>
      <c r="H17" s="11">
        <v>7</v>
      </c>
      <c r="I17" s="11" t="e" vm="11">
        <v>#VALUE!</v>
      </c>
      <c r="J17" s="11" t="s">
        <v>33</v>
      </c>
      <c r="K17" s="11" t="s">
        <v>34</v>
      </c>
      <c r="L17" s="11" t="s">
        <v>49</v>
      </c>
      <c r="M17" s="11" t="s">
        <v>65</v>
      </c>
      <c r="N17" s="11" t="s">
        <v>51</v>
      </c>
      <c r="O17" s="12">
        <v>41277</v>
      </c>
      <c r="P17" s="11" t="s">
        <v>52</v>
      </c>
      <c r="Q17" s="25" t="s">
        <v>132</v>
      </c>
      <c r="R17" s="11">
        <v>8785818089</v>
      </c>
      <c r="S17" s="11" t="s">
        <v>40</v>
      </c>
      <c r="T17" s="11" t="s">
        <v>41</v>
      </c>
      <c r="U17" s="11" t="s">
        <v>42</v>
      </c>
      <c r="V17" s="13">
        <v>34000</v>
      </c>
      <c r="W17" s="13">
        <v>3878</v>
      </c>
      <c r="X17" s="13">
        <v>1816</v>
      </c>
      <c r="Y17" s="13">
        <v>2189</v>
      </c>
      <c r="Z17" s="13">
        <v>14132</v>
      </c>
      <c r="AA17" s="14">
        <f t="shared" si="0"/>
        <v>56015</v>
      </c>
      <c r="AB17" s="22">
        <f t="shared" si="1"/>
        <v>672180</v>
      </c>
    </row>
    <row r="18" spans="1:28">
      <c r="A18" s="20" t="s">
        <v>133</v>
      </c>
      <c r="B18" s="11" t="s">
        <v>134</v>
      </c>
      <c r="C18" s="11" t="s">
        <v>151</v>
      </c>
      <c r="D18" s="11">
        <v>26</v>
      </c>
      <c r="E18" s="12">
        <v>45675</v>
      </c>
      <c r="F18" s="12" t="s">
        <v>48</v>
      </c>
      <c r="G18" s="11">
        <v>3</v>
      </c>
      <c r="H18" s="11">
        <v>8</v>
      </c>
      <c r="I18" s="11" t="e" vm="12">
        <v>#VALUE!</v>
      </c>
      <c r="J18" s="11" t="s">
        <v>33</v>
      </c>
      <c r="K18" s="11" t="s">
        <v>34</v>
      </c>
      <c r="L18" s="11" t="s">
        <v>49</v>
      </c>
      <c r="M18" s="11" t="s">
        <v>36</v>
      </c>
      <c r="N18" s="11" t="s">
        <v>37</v>
      </c>
      <c r="O18" s="12">
        <v>38276</v>
      </c>
      <c r="P18" s="11" t="s">
        <v>67</v>
      </c>
      <c r="Q18" s="25" t="s">
        <v>136</v>
      </c>
      <c r="R18" s="11">
        <v>8087812367</v>
      </c>
      <c r="S18" s="11" t="s">
        <v>54</v>
      </c>
      <c r="T18" s="11" t="s">
        <v>55</v>
      </c>
      <c r="U18" s="11" t="s">
        <v>56</v>
      </c>
      <c r="V18" s="13">
        <v>36000</v>
      </c>
      <c r="W18" s="13">
        <v>5168</v>
      </c>
      <c r="X18" s="13">
        <v>1925</v>
      </c>
      <c r="Y18" s="13">
        <v>1935</v>
      </c>
      <c r="Z18" s="13">
        <v>10916</v>
      </c>
      <c r="AA18" s="14">
        <f t="shared" si="0"/>
        <v>55944</v>
      </c>
      <c r="AB18" s="22">
        <f t="shared" si="1"/>
        <v>671328</v>
      </c>
    </row>
    <row r="19" spans="1:28">
      <c r="A19" s="20" t="s">
        <v>137</v>
      </c>
      <c r="B19" s="11" t="s">
        <v>138</v>
      </c>
      <c r="C19" s="11" t="s">
        <v>152</v>
      </c>
      <c r="D19" s="11">
        <v>30</v>
      </c>
      <c r="E19" s="12">
        <v>44758</v>
      </c>
      <c r="F19" s="12" t="s">
        <v>62</v>
      </c>
      <c r="G19" s="11">
        <v>4</v>
      </c>
      <c r="H19" s="11">
        <v>5</v>
      </c>
      <c r="I19" s="11" t="e" vm="13">
        <v>#VALUE!</v>
      </c>
      <c r="J19" s="11" t="s">
        <v>33</v>
      </c>
      <c r="K19" s="11" t="s">
        <v>63</v>
      </c>
      <c r="L19" s="11" t="s">
        <v>64</v>
      </c>
      <c r="M19" s="11" t="s">
        <v>50</v>
      </c>
      <c r="N19" s="11" t="s">
        <v>66</v>
      </c>
      <c r="O19" s="12">
        <v>40128</v>
      </c>
      <c r="P19" s="11" t="s">
        <v>52</v>
      </c>
      <c r="Q19" s="25" t="s">
        <v>140</v>
      </c>
      <c r="R19" s="11">
        <v>8123456780</v>
      </c>
      <c r="S19" s="11" t="s">
        <v>69</v>
      </c>
      <c r="T19" s="11" t="s">
        <v>70</v>
      </c>
      <c r="U19" s="11" t="s">
        <v>42</v>
      </c>
      <c r="V19" s="13">
        <v>46000</v>
      </c>
      <c r="W19" s="13">
        <v>4723</v>
      </c>
      <c r="X19" s="13">
        <v>2454</v>
      </c>
      <c r="Y19" s="13">
        <v>2159</v>
      </c>
      <c r="Z19" s="13">
        <v>12524</v>
      </c>
      <c r="AA19" s="14">
        <f t="shared" si="0"/>
        <v>67860</v>
      </c>
      <c r="AB19" s="22">
        <f t="shared" si="1"/>
        <v>814320</v>
      </c>
    </row>
    <row r="20" spans="1:28">
      <c r="A20" s="20" t="s">
        <v>141</v>
      </c>
      <c r="B20" s="10" t="s">
        <v>142</v>
      </c>
      <c r="C20" s="11" t="s">
        <v>152</v>
      </c>
      <c r="D20" s="11">
        <v>27</v>
      </c>
      <c r="E20" s="12">
        <v>46005</v>
      </c>
      <c r="F20" s="12" t="s">
        <v>76</v>
      </c>
      <c r="G20" s="11">
        <v>5</v>
      </c>
      <c r="H20" s="11">
        <v>6</v>
      </c>
      <c r="I20" s="11" t="e" vm="14">
        <v>#VALUE!</v>
      </c>
      <c r="J20" s="11" t="s">
        <v>33</v>
      </c>
      <c r="K20" s="11" t="s">
        <v>34</v>
      </c>
      <c r="L20" s="11" t="s">
        <v>49</v>
      </c>
      <c r="M20" s="11" t="s">
        <v>65</v>
      </c>
      <c r="N20" s="11" t="s">
        <v>51</v>
      </c>
      <c r="O20" s="12">
        <v>40643</v>
      </c>
      <c r="P20" s="11" t="s">
        <v>38</v>
      </c>
      <c r="Q20" s="25" t="s">
        <v>143</v>
      </c>
      <c r="R20" s="11">
        <v>9087654321</v>
      </c>
      <c r="S20" s="11" t="s">
        <v>40</v>
      </c>
      <c r="T20" s="11" t="s">
        <v>41</v>
      </c>
      <c r="U20" s="11" t="s">
        <v>42</v>
      </c>
      <c r="V20" s="13">
        <v>32000</v>
      </c>
      <c r="W20" s="13">
        <v>2879</v>
      </c>
      <c r="X20" s="13">
        <v>2169</v>
      </c>
      <c r="Y20" s="13">
        <v>1695</v>
      </c>
      <c r="Z20" s="13">
        <v>14418</v>
      </c>
      <c r="AA20" s="14">
        <f t="shared" si="0"/>
        <v>53161</v>
      </c>
      <c r="AB20" s="22">
        <f t="shared" si="1"/>
        <v>637932</v>
      </c>
    </row>
    <row r="21" spans="1:28">
      <c r="A21" s="21" t="s">
        <v>144</v>
      </c>
      <c r="B21" s="16" t="s">
        <v>145</v>
      </c>
      <c r="C21" s="15" t="s">
        <v>151</v>
      </c>
      <c r="D21" s="15">
        <v>35</v>
      </c>
      <c r="E21" s="17">
        <v>45283</v>
      </c>
      <c r="F21" s="15" t="s">
        <v>84</v>
      </c>
      <c r="G21" s="15">
        <v>4</v>
      </c>
      <c r="H21" s="15">
        <v>9</v>
      </c>
      <c r="I21" s="15" t="e" vm="13">
        <v>#VALUE!</v>
      </c>
      <c r="J21" s="15" t="s">
        <v>33</v>
      </c>
      <c r="K21" s="15" t="s">
        <v>63</v>
      </c>
      <c r="L21" s="15" t="s">
        <v>49</v>
      </c>
      <c r="M21" s="15" t="s">
        <v>65</v>
      </c>
      <c r="N21" s="15" t="s">
        <v>66</v>
      </c>
      <c r="O21" s="17">
        <v>37415</v>
      </c>
      <c r="P21" s="15" t="s">
        <v>52</v>
      </c>
      <c r="Q21" s="26" t="s">
        <v>147</v>
      </c>
      <c r="R21" s="15">
        <v>8292939495</v>
      </c>
      <c r="S21" s="15" t="s">
        <v>54</v>
      </c>
      <c r="T21" s="15" t="s">
        <v>55</v>
      </c>
      <c r="U21" s="15" t="s">
        <v>56</v>
      </c>
      <c r="V21" s="18">
        <v>50000</v>
      </c>
      <c r="W21" s="18">
        <v>4261</v>
      </c>
      <c r="X21" s="18">
        <v>2048</v>
      </c>
      <c r="Y21" s="18">
        <v>2951</v>
      </c>
      <c r="Z21" s="18">
        <v>15996</v>
      </c>
      <c r="AA21" s="19">
        <f t="shared" si="0"/>
        <v>75256</v>
      </c>
      <c r="AB21" s="23">
        <f t="shared" si="1"/>
        <v>903072</v>
      </c>
    </row>
    <row r="23" spans="1:28">
      <c r="B23" s="9" t="s">
        <v>155</v>
      </c>
      <c r="C23" s="9"/>
      <c r="D23" s="9"/>
      <c r="E23" s="9"/>
    </row>
    <row r="24" spans="1:28">
      <c r="B24" s="9" t="s">
        <v>156</v>
      </c>
      <c r="C24" s="9"/>
      <c r="D24" s="9"/>
      <c r="E24" s="9"/>
    </row>
  </sheetData>
  <hyperlinks>
    <hyperlink ref="Q2" r:id="rId1" xr:uid="{2BB93CE1-3DA2-4CE7-9F1F-25A599582633}"/>
    <hyperlink ref="Q3" r:id="rId2" xr:uid="{8B890044-70DB-4F54-A665-40831BEE040A}"/>
    <hyperlink ref="Q4" r:id="rId3" xr:uid="{38566394-B239-4F5C-B0CB-A0673D195821}"/>
    <hyperlink ref="Q5" r:id="rId4" xr:uid="{176910C7-06E8-4CEC-9990-737EF35D0FF5}"/>
    <hyperlink ref="Q6" r:id="rId5" xr:uid="{1F178E77-3AD4-4A25-B4BA-7BD81A4F6157}"/>
    <hyperlink ref="Q7" r:id="rId6" xr:uid="{F727A440-0F9B-41E0-9400-DAC4369A9BB3}"/>
    <hyperlink ref="Q8" r:id="rId7" xr:uid="{4674E6ED-2B61-4476-8502-570AAC128322}"/>
    <hyperlink ref="Q9" r:id="rId8" xr:uid="{8200A235-9CD3-48FE-BF45-96A4E8A3E70C}"/>
    <hyperlink ref="Q10" r:id="rId9" xr:uid="{B4CBA240-5A79-4CCC-B191-E917E21F551A}"/>
    <hyperlink ref="Q11" r:id="rId10" xr:uid="{966F795C-CFDC-4344-9ACA-802DC9D8D400}"/>
    <hyperlink ref="Q12" r:id="rId11" xr:uid="{2640FC70-1E54-4087-9ECB-D9E9DE6BD8FB}"/>
    <hyperlink ref="Q13" r:id="rId12" xr:uid="{63BAFCB8-3120-44FA-A7AF-5BB7FBD8CE35}"/>
    <hyperlink ref="Q14" r:id="rId13" xr:uid="{1854240B-2CAE-4C37-8926-BEC1979013C4}"/>
    <hyperlink ref="Q15" r:id="rId14" xr:uid="{F34CAB64-CC51-46D8-9549-4B4E8D8B4C38}"/>
    <hyperlink ref="Q16" r:id="rId15" xr:uid="{5A617192-0D77-487B-BFF1-465FA30F30D4}"/>
    <hyperlink ref="Q17" r:id="rId16" xr:uid="{554AAE88-6805-4F7D-B983-8D556A302FEF}"/>
    <hyperlink ref="Q18" r:id="rId17" xr:uid="{A003734D-49AF-4FF2-BDEB-4803228B4C98}"/>
    <hyperlink ref="Q19" r:id="rId18" xr:uid="{E83C0DE0-6B63-4531-B337-640D06994EC9}"/>
    <hyperlink ref="Q20" r:id="rId19" xr:uid="{C0BB4D97-0A1B-4620-8872-F35B30F399FD}"/>
    <hyperlink ref="Q21" r:id="rId20" xr:uid="{4F403EE9-2DD5-413A-A175-941CEC85786C}"/>
  </hyperlinks>
  <pageMargins left="0.7" right="0.7" top="0.75" bottom="0.75" header="0.3" footer="0.3"/>
  <tableParts count="1">
    <tablePart r:id="rId2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66C5B-8B61-4192-BCBE-D3BF1C1EA33E}">
  <dimension ref="A1:AB29"/>
  <sheetViews>
    <sheetView workbookViewId="0">
      <selection activeCell="H34" sqref="H34"/>
    </sheetView>
  </sheetViews>
  <sheetFormatPr defaultRowHeight="15"/>
  <cols>
    <col min="1" max="1" width="15" bestFit="1" customWidth="1"/>
    <col min="2" max="2" width="18.7109375" bestFit="1" customWidth="1"/>
    <col min="3" max="3" width="10" bestFit="1" customWidth="1"/>
    <col min="4" max="4" width="6.7109375" bestFit="1" customWidth="1"/>
    <col min="5" max="5" width="15" bestFit="1" customWidth="1"/>
    <col min="6" max="6" width="19.7109375" bestFit="1" customWidth="1"/>
    <col min="7" max="7" width="21.7109375" bestFit="1" customWidth="1"/>
    <col min="8" max="8" width="14.140625" bestFit="1" customWidth="1"/>
    <col min="9" max="9" width="17.42578125" bestFit="1" customWidth="1"/>
    <col min="10" max="10" width="21.5703125" bestFit="1" customWidth="1"/>
    <col min="11" max="11" width="16.42578125" bestFit="1" customWidth="1"/>
    <col min="12" max="12" width="14.5703125" bestFit="1" customWidth="1"/>
    <col min="13" max="13" width="12.28515625" bestFit="1" customWidth="1"/>
    <col min="14" max="14" width="15.140625" bestFit="1" customWidth="1"/>
    <col min="15" max="15" width="16.140625" bestFit="1" customWidth="1"/>
    <col min="16" max="16" width="15.7109375" bestFit="1" customWidth="1"/>
    <col min="17" max="17" width="33.28515625" style="7" bestFit="1" customWidth="1"/>
    <col min="18" max="18" width="17.5703125" bestFit="1" customWidth="1"/>
    <col min="19" max="19" width="12.42578125" bestFit="1" customWidth="1"/>
    <col min="20" max="20" width="17.42578125" bestFit="1" customWidth="1"/>
    <col min="21" max="21" width="21.28515625" bestFit="1" customWidth="1"/>
    <col min="22" max="22" width="14.28515625" bestFit="1" customWidth="1"/>
    <col min="23" max="23" width="22.7109375" bestFit="1" customWidth="1"/>
    <col min="24" max="24" width="21.140625" bestFit="1" customWidth="1"/>
    <col min="25" max="25" width="10.28515625" bestFit="1" customWidth="1"/>
    <col min="26" max="26" width="30.85546875" bestFit="1" customWidth="1"/>
    <col min="27" max="27" width="13.140625" bestFit="1" customWidth="1"/>
    <col min="28" max="28" width="16.42578125" bestFit="1" customWidth="1"/>
  </cols>
  <sheetData>
    <row r="1" spans="1:28" s="29" customFormat="1">
      <c r="A1" s="27" t="s">
        <v>0</v>
      </c>
      <c r="B1" s="24" t="s">
        <v>1</v>
      </c>
      <c r="C1" s="24" t="s">
        <v>148</v>
      </c>
      <c r="D1" s="28" t="s">
        <v>149</v>
      </c>
      <c r="E1" s="24" t="s">
        <v>5</v>
      </c>
      <c r="F1" s="24" t="s">
        <v>6</v>
      </c>
      <c r="G1" s="28" t="s">
        <v>7</v>
      </c>
      <c r="H1" s="28" t="s">
        <v>8</v>
      </c>
      <c r="I1" s="28" t="s">
        <v>9</v>
      </c>
      <c r="J1" s="28" t="s">
        <v>10</v>
      </c>
      <c r="K1" s="28" t="s">
        <v>11</v>
      </c>
      <c r="L1" s="24" t="s">
        <v>12</v>
      </c>
      <c r="M1" s="24" t="s">
        <v>13</v>
      </c>
      <c r="N1" s="24" t="s">
        <v>14</v>
      </c>
      <c r="O1" s="24" t="s">
        <v>15</v>
      </c>
      <c r="P1" s="24" t="s">
        <v>16</v>
      </c>
      <c r="Q1" s="24" t="s">
        <v>17</v>
      </c>
      <c r="R1" s="24" t="s">
        <v>18</v>
      </c>
      <c r="S1" s="24" t="s">
        <v>19</v>
      </c>
      <c r="T1" s="24" t="s">
        <v>20</v>
      </c>
      <c r="U1" s="24" t="s">
        <v>21</v>
      </c>
      <c r="V1" s="24" t="s">
        <v>22</v>
      </c>
      <c r="W1" s="24" t="s">
        <v>23</v>
      </c>
      <c r="X1" s="24" t="s">
        <v>24</v>
      </c>
      <c r="Y1" s="24" t="s">
        <v>25</v>
      </c>
      <c r="Z1" s="24" t="s">
        <v>26</v>
      </c>
      <c r="AA1" s="24" t="s">
        <v>153</v>
      </c>
      <c r="AB1" s="24" t="s">
        <v>154</v>
      </c>
    </row>
    <row r="2" spans="1:28">
      <c r="A2" s="20" t="s">
        <v>27</v>
      </c>
      <c r="B2" s="11" t="s">
        <v>150</v>
      </c>
      <c r="C2" s="11" t="s">
        <v>151</v>
      </c>
      <c r="D2" s="11">
        <v>39</v>
      </c>
      <c r="E2" s="12">
        <v>44681</v>
      </c>
      <c r="F2" s="12" t="s">
        <v>32</v>
      </c>
      <c r="G2" s="11">
        <v>4</v>
      </c>
      <c r="H2" s="11">
        <v>5</v>
      </c>
      <c r="I2" s="11" t="e" vm="1">
        <v>#VALUE!</v>
      </c>
      <c r="J2" s="11" t="s">
        <v>33</v>
      </c>
      <c r="K2" s="11" t="s">
        <v>34</v>
      </c>
      <c r="L2" s="11" t="s">
        <v>35</v>
      </c>
      <c r="M2" s="11" t="s">
        <v>36</v>
      </c>
      <c r="N2" s="11" t="s">
        <v>37</v>
      </c>
      <c r="O2" s="12">
        <v>39270</v>
      </c>
      <c r="P2" s="11" t="s">
        <v>38</v>
      </c>
      <c r="Q2" s="25" t="s">
        <v>39</v>
      </c>
      <c r="R2" s="11">
        <v>8976543210</v>
      </c>
      <c r="S2" s="11" t="s">
        <v>40</v>
      </c>
      <c r="T2" s="11" t="s">
        <v>41</v>
      </c>
      <c r="U2" s="11" t="s">
        <v>42</v>
      </c>
      <c r="V2" s="13">
        <v>28000</v>
      </c>
      <c r="W2" s="13">
        <v>2835</v>
      </c>
      <c r="X2" s="13">
        <v>2007</v>
      </c>
      <c r="Y2" s="13">
        <v>2185</v>
      </c>
      <c r="Z2" s="13">
        <v>12287</v>
      </c>
      <c r="AA2" s="14">
        <f>SUM(V2,W2,X2,Y2,Z2)</f>
        <v>47314</v>
      </c>
      <c r="AB2" s="22">
        <f>AA2*12</f>
        <v>567768</v>
      </c>
    </row>
    <row r="3" spans="1:28">
      <c r="A3" s="20" t="s">
        <v>43</v>
      </c>
      <c r="B3" s="10" t="s">
        <v>44</v>
      </c>
      <c r="C3" s="11" t="s">
        <v>151</v>
      </c>
      <c r="D3" s="11">
        <v>34</v>
      </c>
      <c r="E3" s="12">
        <v>45403</v>
      </c>
      <c r="F3" s="12" t="s">
        <v>48</v>
      </c>
      <c r="G3" s="11">
        <v>3</v>
      </c>
      <c r="H3" s="11">
        <v>5</v>
      </c>
      <c r="I3" s="11" t="e" vm="2">
        <v>#VALUE!</v>
      </c>
      <c r="J3" s="11" t="s">
        <v>33</v>
      </c>
      <c r="K3" s="11" t="s">
        <v>34</v>
      </c>
      <c r="L3" s="11" t="s">
        <v>49</v>
      </c>
      <c r="M3" s="11" t="s">
        <v>50</v>
      </c>
      <c r="N3" s="11" t="s">
        <v>51</v>
      </c>
      <c r="O3" s="12">
        <v>41114</v>
      </c>
      <c r="P3" s="11" t="s">
        <v>52</v>
      </c>
      <c r="Q3" s="25" t="s">
        <v>53</v>
      </c>
      <c r="R3" s="11">
        <v>9854362109</v>
      </c>
      <c r="S3" s="11" t="s">
        <v>54</v>
      </c>
      <c r="T3" s="11" t="s">
        <v>55</v>
      </c>
      <c r="U3" s="11" t="s">
        <v>56</v>
      </c>
      <c r="V3" s="13">
        <v>33000</v>
      </c>
      <c r="W3" s="13">
        <v>3133</v>
      </c>
      <c r="X3" s="13">
        <v>1870</v>
      </c>
      <c r="Y3" s="13">
        <v>1802</v>
      </c>
      <c r="Z3" s="13">
        <v>9740</v>
      </c>
      <c r="AA3" s="14">
        <f t="shared" ref="AA3:AA21" si="0">SUM(V3,W3,X3,Y3,Z3)</f>
        <v>49545</v>
      </c>
      <c r="AB3" s="22">
        <f t="shared" ref="AB3:AB21" si="1">AA3*12</f>
        <v>594540</v>
      </c>
    </row>
    <row r="4" spans="1:28">
      <c r="A4" s="20" t="s">
        <v>57</v>
      </c>
      <c r="B4" s="11" t="s">
        <v>58</v>
      </c>
      <c r="C4" s="11" t="s">
        <v>152</v>
      </c>
      <c r="D4" s="11">
        <v>27</v>
      </c>
      <c r="E4" s="12">
        <v>45595</v>
      </c>
      <c r="F4" s="12" t="s">
        <v>62</v>
      </c>
      <c r="G4" s="11">
        <v>4</v>
      </c>
      <c r="H4" s="11">
        <v>8</v>
      </c>
      <c r="I4" s="11" t="e" vm="1">
        <v>#VALUE!</v>
      </c>
      <c r="J4" s="11" t="s">
        <v>33</v>
      </c>
      <c r="K4" s="11" t="s">
        <v>63</v>
      </c>
      <c r="L4" s="11" t="s">
        <v>64</v>
      </c>
      <c r="M4" s="11" t="s">
        <v>65</v>
      </c>
      <c r="N4" s="11" t="s">
        <v>66</v>
      </c>
      <c r="O4" s="12">
        <v>40810</v>
      </c>
      <c r="P4" s="11" t="s">
        <v>67</v>
      </c>
      <c r="Q4" s="25" t="s">
        <v>68</v>
      </c>
      <c r="R4" s="11">
        <v>9239456120</v>
      </c>
      <c r="S4" s="11" t="s">
        <v>69</v>
      </c>
      <c r="T4" s="11" t="s">
        <v>70</v>
      </c>
      <c r="U4" s="11" t="s">
        <v>42</v>
      </c>
      <c r="V4" s="13">
        <v>38000</v>
      </c>
      <c r="W4" s="13">
        <v>4320</v>
      </c>
      <c r="X4" s="13">
        <v>2147</v>
      </c>
      <c r="Y4" s="13">
        <v>2970</v>
      </c>
      <c r="Z4" s="13">
        <v>11982</v>
      </c>
      <c r="AA4" s="14">
        <f t="shared" si="0"/>
        <v>59419</v>
      </c>
      <c r="AB4" s="22">
        <f>AA4*12</f>
        <v>713028</v>
      </c>
    </row>
    <row r="5" spans="1:28">
      <c r="A5" s="20" t="s">
        <v>71</v>
      </c>
      <c r="B5" s="10" t="s">
        <v>72</v>
      </c>
      <c r="C5" s="11" t="s">
        <v>151</v>
      </c>
      <c r="D5" s="11">
        <v>40</v>
      </c>
      <c r="E5" s="12">
        <v>45116</v>
      </c>
      <c r="F5" s="12" t="s">
        <v>76</v>
      </c>
      <c r="G5" s="11">
        <v>4</v>
      </c>
      <c r="H5" s="11">
        <v>5</v>
      </c>
      <c r="I5" s="11" t="e" vm="3">
        <v>#VALUE!</v>
      </c>
      <c r="J5" s="11" t="s">
        <v>33</v>
      </c>
      <c r="K5" s="11" t="s">
        <v>34</v>
      </c>
      <c r="L5" s="11" t="s">
        <v>35</v>
      </c>
      <c r="M5" s="11" t="s">
        <v>36</v>
      </c>
      <c r="N5" s="11" t="s">
        <v>51</v>
      </c>
      <c r="O5" s="12">
        <v>38238</v>
      </c>
      <c r="P5" s="11" t="s">
        <v>77</v>
      </c>
      <c r="Q5" s="25" t="s">
        <v>78</v>
      </c>
      <c r="R5" s="11">
        <v>8142736904</v>
      </c>
      <c r="S5" s="11" t="s">
        <v>40</v>
      </c>
      <c r="T5" s="11" t="s">
        <v>41</v>
      </c>
      <c r="U5" s="11" t="s">
        <v>56</v>
      </c>
      <c r="V5" s="13">
        <v>30000</v>
      </c>
      <c r="W5" s="13">
        <v>2656</v>
      </c>
      <c r="X5" s="13">
        <v>1794</v>
      </c>
      <c r="Y5" s="13">
        <v>1509</v>
      </c>
      <c r="Z5" s="13">
        <v>13491</v>
      </c>
      <c r="AA5" s="14">
        <f t="shared" si="0"/>
        <v>49450</v>
      </c>
      <c r="AB5" s="22">
        <f t="shared" si="1"/>
        <v>593400</v>
      </c>
    </row>
    <row r="6" spans="1:28">
      <c r="A6" s="20" t="s">
        <v>79</v>
      </c>
      <c r="B6" s="10" t="s">
        <v>80</v>
      </c>
      <c r="C6" s="11" t="s">
        <v>152</v>
      </c>
      <c r="D6" s="11">
        <v>22</v>
      </c>
      <c r="E6" s="12">
        <v>45715</v>
      </c>
      <c r="F6" s="11" t="s">
        <v>84</v>
      </c>
      <c r="G6" s="11">
        <v>5</v>
      </c>
      <c r="H6" s="11">
        <v>7</v>
      </c>
      <c r="I6" s="11" t="e" vm="4">
        <v>#VALUE!</v>
      </c>
      <c r="J6" s="11" t="s">
        <v>33</v>
      </c>
      <c r="K6" s="11" t="s">
        <v>63</v>
      </c>
      <c r="L6" s="11" t="s">
        <v>49</v>
      </c>
      <c r="M6" s="11" t="s">
        <v>50</v>
      </c>
      <c r="N6" s="11" t="s">
        <v>37</v>
      </c>
      <c r="O6" s="12">
        <v>43361</v>
      </c>
      <c r="P6" s="11" t="s">
        <v>38</v>
      </c>
      <c r="Q6" s="25" t="s">
        <v>85</v>
      </c>
      <c r="R6" s="11">
        <v>8956633103</v>
      </c>
      <c r="S6" s="11" t="s">
        <v>54</v>
      </c>
      <c r="T6" s="11" t="s">
        <v>55</v>
      </c>
      <c r="U6" s="11" t="s">
        <v>42</v>
      </c>
      <c r="V6" s="13">
        <v>52000</v>
      </c>
      <c r="W6" s="13">
        <v>3674</v>
      </c>
      <c r="X6" s="13">
        <v>1800</v>
      </c>
      <c r="Y6" s="13">
        <v>1075</v>
      </c>
      <c r="Z6" s="13">
        <v>11935</v>
      </c>
      <c r="AA6" s="14">
        <f t="shared" si="0"/>
        <v>70484</v>
      </c>
      <c r="AB6" s="22">
        <f t="shared" si="1"/>
        <v>845808</v>
      </c>
    </row>
    <row r="7" spans="1:28">
      <c r="A7" s="20" t="s">
        <v>86</v>
      </c>
      <c r="B7" s="10" t="s">
        <v>87</v>
      </c>
      <c r="C7" s="11" t="s">
        <v>152</v>
      </c>
      <c r="D7" s="11">
        <v>23</v>
      </c>
      <c r="E7" s="12">
        <v>46156</v>
      </c>
      <c r="F7" s="12" t="s">
        <v>32</v>
      </c>
      <c r="G7" s="11">
        <v>4</v>
      </c>
      <c r="H7" s="11">
        <v>8</v>
      </c>
      <c r="I7" s="11" t="e" vm="5">
        <v>#VALUE!</v>
      </c>
      <c r="J7" s="11" t="s">
        <v>33</v>
      </c>
      <c r="K7" s="11" t="s">
        <v>34</v>
      </c>
      <c r="L7" s="11" t="s">
        <v>64</v>
      </c>
      <c r="M7" s="11" t="s">
        <v>65</v>
      </c>
      <c r="N7" s="11" t="s">
        <v>66</v>
      </c>
      <c r="O7" s="12">
        <v>39843</v>
      </c>
      <c r="P7" s="11" t="s">
        <v>52</v>
      </c>
      <c r="Q7" s="25" t="s">
        <v>91</v>
      </c>
      <c r="R7" s="11">
        <v>9175514319</v>
      </c>
      <c r="S7" s="11" t="s">
        <v>69</v>
      </c>
      <c r="T7" s="11" t="s">
        <v>70</v>
      </c>
      <c r="U7" s="11" t="s">
        <v>42</v>
      </c>
      <c r="V7" s="13">
        <v>45000</v>
      </c>
      <c r="W7" s="13">
        <v>5870</v>
      </c>
      <c r="X7" s="13">
        <v>1875</v>
      </c>
      <c r="Y7" s="13">
        <v>1113</v>
      </c>
      <c r="Z7" s="13">
        <v>11161</v>
      </c>
      <c r="AA7" s="14">
        <f t="shared" si="0"/>
        <v>65019</v>
      </c>
      <c r="AB7" s="22">
        <f t="shared" si="1"/>
        <v>780228</v>
      </c>
    </row>
    <row r="8" spans="1:28">
      <c r="A8" s="20" t="s">
        <v>92</v>
      </c>
      <c r="B8" s="11" t="s">
        <v>93</v>
      </c>
      <c r="C8" s="11" t="s">
        <v>152</v>
      </c>
      <c r="D8" s="11">
        <v>22</v>
      </c>
      <c r="E8" s="12">
        <v>44363</v>
      </c>
      <c r="F8" s="12" t="s">
        <v>48</v>
      </c>
      <c r="G8" s="11">
        <v>4</v>
      </c>
      <c r="H8" s="11">
        <v>7</v>
      </c>
      <c r="I8" s="11" t="e" vm="6">
        <v>#VALUE!</v>
      </c>
      <c r="J8" s="11" t="s">
        <v>33</v>
      </c>
      <c r="K8" s="11" t="s">
        <v>63</v>
      </c>
      <c r="L8" s="11" t="s">
        <v>49</v>
      </c>
      <c r="M8" s="11" t="s">
        <v>65</v>
      </c>
      <c r="N8" s="11" t="s">
        <v>37</v>
      </c>
      <c r="O8" s="12">
        <v>40675</v>
      </c>
      <c r="P8" s="11" t="s">
        <v>67</v>
      </c>
      <c r="Q8" s="25" t="s">
        <v>95</v>
      </c>
      <c r="R8" s="11">
        <v>9320792333</v>
      </c>
      <c r="S8" s="11" t="s">
        <v>40</v>
      </c>
      <c r="T8" s="11" t="s">
        <v>41</v>
      </c>
      <c r="U8" s="11" t="s">
        <v>56</v>
      </c>
      <c r="V8" s="13">
        <v>25000</v>
      </c>
      <c r="W8" s="13">
        <v>4236</v>
      </c>
      <c r="X8" s="13">
        <v>1479</v>
      </c>
      <c r="Y8" s="13">
        <v>1260</v>
      </c>
      <c r="Z8" s="13">
        <v>15956</v>
      </c>
      <c r="AA8" s="14">
        <f t="shared" si="0"/>
        <v>47931</v>
      </c>
      <c r="AB8" s="22">
        <f t="shared" si="1"/>
        <v>575172</v>
      </c>
    </row>
    <row r="9" spans="1:28">
      <c r="A9" s="20" t="s">
        <v>96</v>
      </c>
      <c r="B9" s="10" t="s">
        <v>97</v>
      </c>
      <c r="C9" s="11" t="s">
        <v>151</v>
      </c>
      <c r="D9" s="11">
        <v>40</v>
      </c>
      <c r="E9" s="12">
        <v>45727</v>
      </c>
      <c r="F9" s="12" t="s">
        <v>62</v>
      </c>
      <c r="G9" s="11">
        <v>4</v>
      </c>
      <c r="H9" s="11">
        <v>7</v>
      </c>
      <c r="I9" s="11" t="e" vm="7">
        <v>#VALUE!</v>
      </c>
      <c r="J9" s="11" t="s">
        <v>33</v>
      </c>
      <c r="K9" s="11" t="s">
        <v>63</v>
      </c>
      <c r="L9" s="11" t="s">
        <v>64</v>
      </c>
      <c r="M9" s="11" t="s">
        <v>36</v>
      </c>
      <c r="N9" s="11" t="s">
        <v>51</v>
      </c>
      <c r="O9" s="12">
        <v>41180</v>
      </c>
      <c r="P9" s="11" t="s">
        <v>77</v>
      </c>
      <c r="Q9" s="25" t="s">
        <v>99</v>
      </c>
      <c r="R9" s="11">
        <v>8108881430</v>
      </c>
      <c r="S9" s="11" t="s">
        <v>54</v>
      </c>
      <c r="T9" s="11" t="s">
        <v>55</v>
      </c>
      <c r="U9" s="11" t="s">
        <v>42</v>
      </c>
      <c r="V9" s="13">
        <v>48000</v>
      </c>
      <c r="W9" s="13">
        <v>4857</v>
      </c>
      <c r="X9" s="13">
        <v>2460</v>
      </c>
      <c r="Y9" s="13">
        <v>2814</v>
      </c>
      <c r="Z9" s="13">
        <v>10795</v>
      </c>
      <c r="AA9" s="14">
        <f t="shared" si="0"/>
        <v>68926</v>
      </c>
      <c r="AB9" s="22">
        <f t="shared" si="1"/>
        <v>827112</v>
      </c>
    </row>
    <row r="10" spans="1:28">
      <c r="A10" s="20" t="s">
        <v>100</v>
      </c>
      <c r="B10" s="10" t="s">
        <v>101</v>
      </c>
      <c r="C10" s="11" t="s">
        <v>152</v>
      </c>
      <c r="D10" s="11">
        <v>27</v>
      </c>
      <c r="E10" s="12">
        <v>44688</v>
      </c>
      <c r="F10" s="12" t="s">
        <v>76</v>
      </c>
      <c r="G10" s="11">
        <v>3</v>
      </c>
      <c r="H10" s="11">
        <v>5</v>
      </c>
      <c r="I10" s="11" t="e" vm="8">
        <v>#VALUE!</v>
      </c>
      <c r="J10" s="11" t="s">
        <v>33</v>
      </c>
      <c r="K10" s="11" t="s">
        <v>34</v>
      </c>
      <c r="L10" s="11" t="s">
        <v>35</v>
      </c>
      <c r="M10" s="11" t="s">
        <v>50</v>
      </c>
      <c r="N10" s="11" t="s">
        <v>66</v>
      </c>
      <c r="O10" s="12">
        <v>41882</v>
      </c>
      <c r="P10" s="11" t="s">
        <v>38</v>
      </c>
      <c r="Q10" s="25" t="s">
        <v>102</v>
      </c>
      <c r="R10" s="11">
        <v>9623120150</v>
      </c>
      <c r="S10" s="11" t="s">
        <v>69</v>
      </c>
      <c r="T10" s="11" t="s">
        <v>70</v>
      </c>
      <c r="U10" s="11" t="s">
        <v>56</v>
      </c>
      <c r="V10" s="13">
        <v>31000</v>
      </c>
      <c r="W10" s="13">
        <v>4746</v>
      </c>
      <c r="X10" s="13">
        <v>2490</v>
      </c>
      <c r="Y10" s="13">
        <v>1122</v>
      </c>
      <c r="Z10" s="13">
        <v>9064</v>
      </c>
      <c r="AA10" s="14">
        <f t="shared" si="0"/>
        <v>48422</v>
      </c>
      <c r="AB10" s="22">
        <f t="shared" si="1"/>
        <v>581064</v>
      </c>
    </row>
    <row r="11" spans="1:28">
      <c r="A11" s="20" t="s">
        <v>103</v>
      </c>
      <c r="B11" s="10" t="s">
        <v>104</v>
      </c>
      <c r="C11" s="11" t="s">
        <v>151</v>
      </c>
      <c r="D11" s="11">
        <v>39</v>
      </c>
      <c r="E11" s="12">
        <v>45947</v>
      </c>
      <c r="F11" s="11" t="s">
        <v>84</v>
      </c>
      <c r="G11" s="11">
        <v>5</v>
      </c>
      <c r="H11" s="11">
        <v>8</v>
      </c>
      <c r="I11" s="11" t="e" vm="9">
        <v>#VALUE!</v>
      </c>
      <c r="J11" s="11" t="s">
        <v>33</v>
      </c>
      <c r="K11" s="11" t="s">
        <v>63</v>
      </c>
      <c r="L11" s="11" t="s">
        <v>49</v>
      </c>
      <c r="M11" s="11" t="s">
        <v>65</v>
      </c>
      <c r="N11" s="11" t="s">
        <v>51</v>
      </c>
      <c r="O11" s="12">
        <v>39461</v>
      </c>
      <c r="P11" s="11" t="s">
        <v>77</v>
      </c>
      <c r="Q11" s="25" t="s">
        <v>105</v>
      </c>
      <c r="R11" s="11">
        <v>9832564390</v>
      </c>
      <c r="S11" s="11" t="s">
        <v>40</v>
      </c>
      <c r="T11" s="11" t="s">
        <v>41</v>
      </c>
      <c r="U11" s="11" t="s">
        <v>42</v>
      </c>
      <c r="V11" s="13">
        <v>29000</v>
      </c>
      <c r="W11" s="13">
        <v>4525</v>
      </c>
      <c r="X11" s="13">
        <v>2087</v>
      </c>
      <c r="Y11" s="13">
        <v>2358</v>
      </c>
      <c r="Z11" s="13">
        <v>15172</v>
      </c>
      <c r="AA11" s="14">
        <f t="shared" si="0"/>
        <v>53142</v>
      </c>
      <c r="AB11" s="22">
        <f t="shared" si="1"/>
        <v>637704</v>
      </c>
    </row>
    <row r="12" spans="1:28">
      <c r="A12" s="20" t="s">
        <v>106</v>
      </c>
      <c r="B12" s="10" t="s">
        <v>107</v>
      </c>
      <c r="C12" s="11" t="s">
        <v>152</v>
      </c>
      <c r="D12" s="11">
        <v>45</v>
      </c>
      <c r="E12" s="12">
        <v>44524</v>
      </c>
      <c r="F12" s="12" t="s">
        <v>32</v>
      </c>
      <c r="G12" s="11">
        <v>5</v>
      </c>
      <c r="H12" s="11">
        <v>8</v>
      </c>
      <c r="I12" s="11" t="e" vm="10">
        <v>#VALUE!</v>
      </c>
      <c r="J12" s="11" t="s">
        <v>33</v>
      </c>
      <c r="K12" s="11" t="s">
        <v>34</v>
      </c>
      <c r="L12" s="11" t="s">
        <v>64</v>
      </c>
      <c r="M12" s="11" t="s">
        <v>65</v>
      </c>
      <c r="N12" s="11" t="s">
        <v>51</v>
      </c>
      <c r="O12" s="12">
        <v>40105</v>
      </c>
      <c r="P12" s="11" t="s">
        <v>38</v>
      </c>
      <c r="Q12" s="25" t="s">
        <v>109</v>
      </c>
      <c r="R12" s="11">
        <v>8765234120</v>
      </c>
      <c r="S12" s="11" t="s">
        <v>54</v>
      </c>
      <c r="T12" s="11" t="s">
        <v>55</v>
      </c>
      <c r="U12" s="11" t="s">
        <v>56</v>
      </c>
      <c r="V12" s="13">
        <v>55000</v>
      </c>
      <c r="W12" s="13">
        <v>5399</v>
      </c>
      <c r="X12" s="13">
        <v>2006</v>
      </c>
      <c r="Y12" s="13">
        <v>1984</v>
      </c>
      <c r="Z12" s="13">
        <v>15278</v>
      </c>
      <c r="AA12" s="14">
        <f t="shared" si="0"/>
        <v>79667</v>
      </c>
      <c r="AB12" s="22">
        <f t="shared" si="1"/>
        <v>956004</v>
      </c>
    </row>
    <row r="13" spans="1:28">
      <c r="A13" s="20" t="s">
        <v>110</v>
      </c>
      <c r="B13" s="10" t="s">
        <v>111</v>
      </c>
      <c r="C13" s="11" t="s">
        <v>151</v>
      </c>
      <c r="D13" s="11">
        <v>31</v>
      </c>
      <c r="E13" s="12">
        <v>45116</v>
      </c>
      <c r="F13" s="12" t="s">
        <v>48</v>
      </c>
      <c r="G13" s="11">
        <v>5</v>
      </c>
      <c r="H13" s="11">
        <v>7</v>
      </c>
      <c r="I13" s="11" t="e" vm="11">
        <v>#VALUE!</v>
      </c>
      <c r="J13" s="11" t="s">
        <v>33</v>
      </c>
      <c r="K13" s="11" t="s">
        <v>34</v>
      </c>
      <c r="L13" s="11" t="s">
        <v>35</v>
      </c>
      <c r="M13" s="11" t="s">
        <v>36</v>
      </c>
      <c r="N13" s="11" t="s">
        <v>66</v>
      </c>
      <c r="O13" s="12">
        <v>41235</v>
      </c>
      <c r="P13" s="11" t="s">
        <v>52</v>
      </c>
      <c r="Q13" s="25" t="s">
        <v>114</v>
      </c>
      <c r="R13" s="11">
        <v>9808602317</v>
      </c>
      <c r="S13" s="11" t="s">
        <v>69</v>
      </c>
      <c r="T13" s="11" t="s">
        <v>70</v>
      </c>
      <c r="U13" s="11" t="s">
        <v>42</v>
      </c>
      <c r="V13" s="13">
        <v>42000</v>
      </c>
      <c r="W13" s="13">
        <v>5836</v>
      </c>
      <c r="X13" s="13">
        <v>2233</v>
      </c>
      <c r="Y13" s="13">
        <v>1115</v>
      </c>
      <c r="Z13" s="13">
        <v>15838</v>
      </c>
      <c r="AA13" s="14">
        <f t="shared" si="0"/>
        <v>67022</v>
      </c>
      <c r="AB13" s="22">
        <f t="shared" si="1"/>
        <v>804264</v>
      </c>
    </row>
    <row r="14" spans="1:28">
      <c r="A14" s="20" t="s">
        <v>115</v>
      </c>
      <c r="B14" s="11" t="s">
        <v>116</v>
      </c>
      <c r="C14" s="11" t="s">
        <v>152</v>
      </c>
      <c r="D14" s="11">
        <v>34</v>
      </c>
      <c r="E14" s="12">
        <v>45495</v>
      </c>
      <c r="F14" s="12" t="s">
        <v>62</v>
      </c>
      <c r="G14" s="11">
        <v>4</v>
      </c>
      <c r="H14" s="11">
        <v>4</v>
      </c>
      <c r="I14" s="11" t="e" vm="12">
        <v>#VALUE!</v>
      </c>
      <c r="J14" s="11" t="s">
        <v>33</v>
      </c>
      <c r="K14" s="11" t="s">
        <v>63</v>
      </c>
      <c r="L14" s="11" t="s">
        <v>49</v>
      </c>
      <c r="M14" s="11" t="s">
        <v>36</v>
      </c>
      <c r="N14" s="11" t="s">
        <v>37</v>
      </c>
      <c r="O14" s="12">
        <v>42420</v>
      </c>
      <c r="P14" s="11" t="s">
        <v>67</v>
      </c>
      <c r="Q14" s="25" t="s">
        <v>118</v>
      </c>
      <c r="R14" s="11">
        <v>9010302040</v>
      </c>
      <c r="S14" s="11" t="s">
        <v>40</v>
      </c>
      <c r="T14" s="11" t="s">
        <v>41</v>
      </c>
      <c r="U14" s="11" t="s">
        <v>56</v>
      </c>
      <c r="V14" s="13">
        <v>37000</v>
      </c>
      <c r="W14" s="13">
        <v>3391</v>
      </c>
      <c r="X14" s="13">
        <v>2385</v>
      </c>
      <c r="Y14" s="13">
        <v>2371</v>
      </c>
      <c r="Z14" s="13">
        <v>10211</v>
      </c>
      <c r="AA14" s="14">
        <f t="shared" si="0"/>
        <v>55358</v>
      </c>
      <c r="AB14" s="22">
        <f t="shared" si="1"/>
        <v>664296</v>
      </c>
    </row>
    <row r="15" spans="1:28">
      <c r="A15" s="20" t="s">
        <v>119</v>
      </c>
      <c r="B15" s="10" t="s">
        <v>120</v>
      </c>
      <c r="C15" s="11" t="s">
        <v>151</v>
      </c>
      <c r="D15" s="11">
        <v>21</v>
      </c>
      <c r="E15" s="12">
        <v>44433</v>
      </c>
      <c r="F15" s="12" t="s">
        <v>76</v>
      </c>
      <c r="G15" s="11">
        <v>5</v>
      </c>
      <c r="H15" s="11">
        <v>6</v>
      </c>
      <c r="I15" s="11" t="e" vm="13">
        <v>#VALUE!</v>
      </c>
      <c r="J15" s="11" t="s">
        <v>33</v>
      </c>
      <c r="K15" s="11" t="s">
        <v>34</v>
      </c>
      <c r="L15" s="11" t="s">
        <v>64</v>
      </c>
      <c r="M15" s="11" t="s">
        <v>50</v>
      </c>
      <c r="N15" s="11" t="s">
        <v>66</v>
      </c>
      <c r="O15" s="12">
        <v>43340</v>
      </c>
      <c r="P15" s="11" t="s">
        <v>77</v>
      </c>
      <c r="Q15" s="25" t="s">
        <v>123</v>
      </c>
      <c r="R15" s="11">
        <v>9854320286</v>
      </c>
      <c r="S15" s="11" t="s">
        <v>54</v>
      </c>
      <c r="T15" s="11" t="s">
        <v>55</v>
      </c>
      <c r="U15" s="11" t="s">
        <v>42</v>
      </c>
      <c r="V15" s="13">
        <v>40000</v>
      </c>
      <c r="W15" s="13">
        <v>2322</v>
      </c>
      <c r="X15" s="13">
        <v>2013</v>
      </c>
      <c r="Y15" s="13">
        <v>1548</v>
      </c>
      <c r="Z15" s="13">
        <v>11267</v>
      </c>
      <c r="AA15" s="14">
        <f t="shared" si="0"/>
        <v>57150</v>
      </c>
      <c r="AB15" s="22">
        <f t="shared" si="1"/>
        <v>685800</v>
      </c>
    </row>
    <row r="16" spans="1:28">
      <c r="A16" s="20" t="s">
        <v>124</v>
      </c>
      <c r="B16" s="10" t="s">
        <v>125</v>
      </c>
      <c r="C16" s="11" t="s">
        <v>152</v>
      </c>
      <c r="D16" s="11">
        <v>24</v>
      </c>
      <c r="E16" s="12">
        <v>45988</v>
      </c>
      <c r="F16" s="11" t="s">
        <v>84</v>
      </c>
      <c r="G16" s="11">
        <v>5</v>
      </c>
      <c r="H16" s="11">
        <v>6</v>
      </c>
      <c r="I16" s="11" t="e" vm="14">
        <v>#VALUE!</v>
      </c>
      <c r="J16" s="11" t="s">
        <v>33</v>
      </c>
      <c r="K16" s="11" t="s">
        <v>63</v>
      </c>
      <c r="L16" s="11" t="s">
        <v>35</v>
      </c>
      <c r="M16" s="11" t="s">
        <v>65</v>
      </c>
      <c r="N16" s="11" t="s">
        <v>66</v>
      </c>
      <c r="O16" s="12">
        <v>40643</v>
      </c>
      <c r="P16" s="11" t="s">
        <v>38</v>
      </c>
      <c r="Q16" s="25" t="s">
        <v>128</v>
      </c>
      <c r="R16" s="11">
        <v>9027202587</v>
      </c>
      <c r="S16" s="11" t="s">
        <v>69</v>
      </c>
      <c r="T16" s="11" t="s">
        <v>70</v>
      </c>
      <c r="U16" s="11" t="s">
        <v>56</v>
      </c>
      <c r="V16" s="13">
        <v>38000</v>
      </c>
      <c r="W16" s="13">
        <v>4512</v>
      </c>
      <c r="X16" s="13">
        <v>1660</v>
      </c>
      <c r="Y16" s="13">
        <v>2582</v>
      </c>
      <c r="Z16" s="13">
        <v>13514</v>
      </c>
      <c r="AA16" s="14">
        <f t="shared" si="0"/>
        <v>60268</v>
      </c>
      <c r="AB16" s="22">
        <f t="shared" si="1"/>
        <v>723216</v>
      </c>
    </row>
    <row r="17" spans="1:28">
      <c r="A17" s="20" t="s">
        <v>129</v>
      </c>
      <c r="B17" s="10" t="s">
        <v>130</v>
      </c>
      <c r="C17" s="11" t="s">
        <v>152</v>
      </c>
      <c r="D17" s="11">
        <v>32</v>
      </c>
      <c r="E17" s="12">
        <v>44273</v>
      </c>
      <c r="F17" s="12" t="s">
        <v>32</v>
      </c>
      <c r="G17" s="11">
        <v>3</v>
      </c>
      <c r="H17" s="11">
        <v>7</v>
      </c>
      <c r="I17" s="11" t="e" vm="11">
        <v>#VALUE!</v>
      </c>
      <c r="J17" s="11" t="s">
        <v>33</v>
      </c>
      <c r="K17" s="11" t="s">
        <v>34</v>
      </c>
      <c r="L17" s="11" t="s">
        <v>49</v>
      </c>
      <c r="M17" s="11" t="s">
        <v>65</v>
      </c>
      <c r="N17" s="11" t="s">
        <v>51</v>
      </c>
      <c r="O17" s="12">
        <v>41277</v>
      </c>
      <c r="P17" s="11" t="s">
        <v>52</v>
      </c>
      <c r="Q17" s="25" t="s">
        <v>132</v>
      </c>
      <c r="R17" s="11">
        <v>8785818089</v>
      </c>
      <c r="S17" s="11" t="s">
        <v>40</v>
      </c>
      <c r="T17" s="11" t="s">
        <v>41</v>
      </c>
      <c r="U17" s="11" t="s">
        <v>42</v>
      </c>
      <c r="V17" s="13">
        <v>34000</v>
      </c>
      <c r="W17" s="13">
        <v>3878</v>
      </c>
      <c r="X17" s="13">
        <v>1816</v>
      </c>
      <c r="Y17" s="13">
        <v>2189</v>
      </c>
      <c r="Z17" s="13">
        <v>14132</v>
      </c>
      <c r="AA17" s="14">
        <f t="shared" si="0"/>
        <v>56015</v>
      </c>
      <c r="AB17" s="22">
        <f t="shared" si="1"/>
        <v>672180</v>
      </c>
    </row>
    <row r="18" spans="1:28">
      <c r="A18" s="20" t="s">
        <v>133</v>
      </c>
      <c r="B18" s="11" t="s">
        <v>134</v>
      </c>
      <c r="C18" s="11" t="s">
        <v>151</v>
      </c>
      <c r="D18" s="11">
        <v>26</v>
      </c>
      <c r="E18" s="12">
        <v>45675</v>
      </c>
      <c r="F18" s="12" t="s">
        <v>48</v>
      </c>
      <c r="G18" s="11">
        <v>3</v>
      </c>
      <c r="H18" s="11">
        <v>8</v>
      </c>
      <c r="I18" s="11" t="e" vm="12">
        <v>#VALUE!</v>
      </c>
      <c r="J18" s="11" t="s">
        <v>33</v>
      </c>
      <c r="K18" s="11" t="s">
        <v>34</v>
      </c>
      <c r="L18" s="11" t="s">
        <v>49</v>
      </c>
      <c r="M18" s="11" t="s">
        <v>36</v>
      </c>
      <c r="N18" s="11" t="s">
        <v>37</v>
      </c>
      <c r="O18" s="12">
        <v>38276</v>
      </c>
      <c r="P18" s="11" t="s">
        <v>67</v>
      </c>
      <c r="Q18" s="25" t="s">
        <v>136</v>
      </c>
      <c r="R18" s="11">
        <v>8087812367</v>
      </c>
      <c r="S18" s="11" t="s">
        <v>54</v>
      </c>
      <c r="T18" s="11" t="s">
        <v>55</v>
      </c>
      <c r="U18" s="11" t="s">
        <v>56</v>
      </c>
      <c r="V18" s="13">
        <v>36000</v>
      </c>
      <c r="W18" s="13">
        <v>5168</v>
      </c>
      <c r="X18" s="13">
        <v>1925</v>
      </c>
      <c r="Y18" s="13">
        <v>1935</v>
      </c>
      <c r="Z18" s="13">
        <v>10916</v>
      </c>
      <c r="AA18" s="14">
        <f t="shared" si="0"/>
        <v>55944</v>
      </c>
      <c r="AB18" s="22">
        <f t="shared" si="1"/>
        <v>671328</v>
      </c>
    </row>
    <row r="19" spans="1:28">
      <c r="A19" s="20" t="s">
        <v>137</v>
      </c>
      <c r="B19" s="11" t="s">
        <v>138</v>
      </c>
      <c r="C19" s="11" t="s">
        <v>152</v>
      </c>
      <c r="D19" s="11">
        <v>30</v>
      </c>
      <c r="E19" s="12">
        <v>44758</v>
      </c>
      <c r="F19" s="12" t="s">
        <v>62</v>
      </c>
      <c r="G19" s="11">
        <v>4</v>
      </c>
      <c r="H19" s="11">
        <v>5</v>
      </c>
      <c r="I19" s="11" t="e" vm="13">
        <v>#VALUE!</v>
      </c>
      <c r="J19" s="11" t="s">
        <v>33</v>
      </c>
      <c r="K19" s="11" t="s">
        <v>63</v>
      </c>
      <c r="L19" s="11" t="s">
        <v>64</v>
      </c>
      <c r="M19" s="11" t="s">
        <v>50</v>
      </c>
      <c r="N19" s="11" t="s">
        <v>66</v>
      </c>
      <c r="O19" s="12">
        <v>40128</v>
      </c>
      <c r="P19" s="11" t="s">
        <v>52</v>
      </c>
      <c r="Q19" s="25" t="s">
        <v>140</v>
      </c>
      <c r="R19" s="11">
        <v>8123456780</v>
      </c>
      <c r="S19" s="11" t="s">
        <v>69</v>
      </c>
      <c r="T19" s="11" t="s">
        <v>70</v>
      </c>
      <c r="U19" s="11" t="s">
        <v>42</v>
      </c>
      <c r="V19" s="13">
        <v>46000</v>
      </c>
      <c r="W19" s="13">
        <v>4723</v>
      </c>
      <c r="X19" s="13">
        <v>2454</v>
      </c>
      <c r="Y19" s="13">
        <v>2159</v>
      </c>
      <c r="Z19" s="13">
        <v>12524</v>
      </c>
      <c r="AA19" s="14">
        <f t="shared" si="0"/>
        <v>67860</v>
      </c>
      <c r="AB19" s="22">
        <f t="shared" si="1"/>
        <v>814320</v>
      </c>
    </row>
    <row r="20" spans="1:28">
      <c r="A20" s="20" t="s">
        <v>141</v>
      </c>
      <c r="B20" s="10" t="s">
        <v>142</v>
      </c>
      <c r="C20" s="11" t="s">
        <v>152</v>
      </c>
      <c r="D20" s="11">
        <v>27</v>
      </c>
      <c r="E20" s="12">
        <v>46005</v>
      </c>
      <c r="F20" s="12" t="s">
        <v>76</v>
      </c>
      <c r="G20" s="11">
        <v>5</v>
      </c>
      <c r="H20" s="11">
        <v>6</v>
      </c>
      <c r="I20" s="11" t="e" vm="14">
        <v>#VALUE!</v>
      </c>
      <c r="J20" s="11" t="s">
        <v>33</v>
      </c>
      <c r="K20" s="11" t="s">
        <v>34</v>
      </c>
      <c r="L20" s="11" t="s">
        <v>49</v>
      </c>
      <c r="M20" s="11" t="s">
        <v>65</v>
      </c>
      <c r="N20" s="11" t="s">
        <v>51</v>
      </c>
      <c r="O20" s="12">
        <v>40643</v>
      </c>
      <c r="P20" s="11" t="s">
        <v>38</v>
      </c>
      <c r="Q20" s="25" t="s">
        <v>143</v>
      </c>
      <c r="R20" s="11">
        <v>9087654321</v>
      </c>
      <c r="S20" s="11" t="s">
        <v>40</v>
      </c>
      <c r="T20" s="11" t="s">
        <v>41</v>
      </c>
      <c r="U20" s="11" t="s">
        <v>42</v>
      </c>
      <c r="V20" s="13">
        <v>32000</v>
      </c>
      <c r="W20" s="13">
        <v>2879</v>
      </c>
      <c r="X20" s="13">
        <v>2169</v>
      </c>
      <c r="Y20" s="13">
        <v>1695</v>
      </c>
      <c r="Z20" s="13">
        <v>14418</v>
      </c>
      <c r="AA20" s="14">
        <f t="shared" si="0"/>
        <v>53161</v>
      </c>
      <c r="AB20" s="22">
        <f t="shared" si="1"/>
        <v>637932</v>
      </c>
    </row>
    <row r="21" spans="1:28">
      <c r="A21" s="21" t="s">
        <v>144</v>
      </c>
      <c r="B21" s="16" t="s">
        <v>145</v>
      </c>
      <c r="C21" s="15" t="s">
        <v>151</v>
      </c>
      <c r="D21" s="15">
        <v>35</v>
      </c>
      <c r="E21" s="17">
        <v>45283</v>
      </c>
      <c r="F21" s="15" t="s">
        <v>84</v>
      </c>
      <c r="G21" s="15">
        <v>4</v>
      </c>
      <c r="H21" s="15">
        <v>4</v>
      </c>
      <c r="I21" s="15" t="e" vm="13">
        <v>#VALUE!</v>
      </c>
      <c r="J21" s="15" t="s">
        <v>33</v>
      </c>
      <c r="K21" s="15" t="s">
        <v>63</v>
      </c>
      <c r="L21" s="15" t="s">
        <v>49</v>
      </c>
      <c r="M21" s="15" t="s">
        <v>65</v>
      </c>
      <c r="N21" s="15" t="s">
        <v>66</v>
      </c>
      <c r="O21" s="17">
        <v>37415</v>
      </c>
      <c r="P21" s="15" t="s">
        <v>52</v>
      </c>
      <c r="Q21" s="26" t="s">
        <v>147</v>
      </c>
      <c r="R21" s="15">
        <v>8292939495</v>
      </c>
      <c r="S21" s="15" t="s">
        <v>54</v>
      </c>
      <c r="T21" s="15" t="s">
        <v>55</v>
      </c>
      <c r="U21" s="15" t="s">
        <v>56</v>
      </c>
      <c r="V21" s="18">
        <v>50000</v>
      </c>
      <c r="W21" s="18">
        <v>4261</v>
      </c>
      <c r="X21" s="18">
        <v>2048</v>
      </c>
      <c r="Y21" s="18">
        <v>2951</v>
      </c>
      <c r="Z21" s="18">
        <v>15996</v>
      </c>
      <c r="AA21" s="19">
        <f t="shared" si="0"/>
        <v>75256</v>
      </c>
      <c r="AB21" s="23">
        <f t="shared" si="1"/>
        <v>903072</v>
      </c>
    </row>
    <row r="23" spans="1:28">
      <c r="B23" s="9"/>
      <c r="C23" s="9"/>
      <c r="D23" s="9"/>
      <c r="E23" s="9"/>
    </row>
    <row r="24" spans="1:28">
      <c r="B24" s="136" t="s">
        <v>157</v>
      </c>
      <c r="C24" s="136"/>
      <c r="D24" s="136"/>
      <c r="E24" s="136"/>
      <c r="F24" s="136"/>
    </row>
    <row r="25" spans="1:28">
      <c r="B25" s="49" t="s">
        <v>158</v>
      </c>
      <c r="C25" s="49"/>
      <c r="D25" s="49"/>
      <c r="E25" s="49"/>
      <c r="F25" s="49"/>
    </row>
    <row r="26" spans="1:28">
      <c r="B26" s="49" t="s">
        <v>159</v>
      </c>
      <c r="C26" s="49"/>
      <c r="D26" s="49"/>
      <c r="E26" s="49"/>
      <c r="F26" s="49"/>
    </row>
    <row r="27" spans="1:28">
      <c r="B27" s="49" t="s">
        <v>160</v>
      </c>
      <c r="C27" s="49"/>
      <c r="D27" s="49"/>
      <c r="E27" s="49"/>
      <c r="F27" s="49"/>
    </row>
    <row r="28" spans="1:28">
      <c r="B28" s="49" t="s">
        <v>161</v>
      </c>
      <c r="C28" s="49"/>
      <c r="D28" s="49"/>
      <c r="E28" s="49"/>
      <c r="F28" s="49"/>
    </row>
    <row r="29" spans="1:28">
      <c r="B29" s="49" t="s">
        <v>162</v>
      </c>
      <c r="C29" s="49"/>
      <c r="D29" s="49"/>
      <c r="E29" s="49"/>
      <c r="F29" s="49"/>
    </row>
  </sheetData>
  <mergeCells count="1">
    <mergeCell ref="B24:F24"/>
  </mergeCells>
  <conditionalFormatting sqref="G2:G21">
    <cfRule type="cellIs" dxfId="145" priority="6" operator="greaterThan">
      <formula>3</formula>
    </cfRule>
  </conditionalFormatting>
  <conditionalFormatting sqref="AB2:AB1048576">
    <cfRule type="cellIs" dxfId="144" priority="3" operator="greaterThan">
      <formula>700000</formula>
    </cfRule>
  </conditionalFormatting>
  <conditionalFormatting sqref="H2:H21">
    <cfRule type="cellIs" dxfId="143" priority="1" operator="between">
      <formula>6</formula>
      <formula>10</formula>
    </cfRule>
  </conditionalFormatting>
  <hyperlinks>
    <hyperlink ref="Q2" r:id="rId1" xr:uid="{6D48BB92-B1AF-4065-8294-B664FF7C5A66}"/>
    <hyperlink ref="Q3" r:id="rId2" xr:uid="{ED89C7D3-907F-4FA8-BA61-61B1FA7FA2A5}"/>
    <hyperlink ref="Q4" r:id="rId3" xr:uid="{260AA156-2742-42A0-8589-A06D9E66E600}"/>
    <hyperlink ref="Q5" r:id="rId4" xr:uid="{05C07F78-0DB3-4651-A5D3-767D59EAC672}"/>
    <hyperlink ref="Q6" r:id="rId5" xr:uid="{1D51D05A-90F6-4669-8B8D-0B8CA814CDC0}"/>
    <hyperlink ref="Q7" r:id="rId6" xr:uid="{34553F33-EF3E-4A34-A75C-3C4FFE598EE2}"/>
    <hyperlink ref="Q8" r:id="rId7" xr:uid="{0C467D6C-1A61-4AF9-8407-BD9F6F66CEE4}"/>
    <hyperlink ref="Q9" r:id="rId8" xr:uid="{3ECEB0A5-2E6B-4AE9-BA1E-3A7601644441}"/>
    <hyperlink ref="Q10" r:id="rId9" xr:uid="{FED1415A-0C3F-4240-A9A0-4530FD200793}"/>
    <hyperlink ref="Q11" r:id="rId10" xr:uid="{F354D335-6EBB-4EFB-8668-BD3AC3989B26}"/>
    <hyperlink ref="Q12" r:id="rId11" xr:uid="{195A0939-545F-47AE-A9AE-C724E2B41497}"/>
    <hyperlink ref="Q13" r:id="rId12" xr:uid="{E20F1C3B-105C-4B10-AFE2-B9A7F6466196}"/>
    <hyperlink ref="Q14" r:id="rId13" xr:uid="{F3474D5D-F7D3-4D12-B0F5-DBF55819C270}"/>
    <hyperlink ref="Q15" r:id="rId14" xr:uid="{EEE982A2-F31F-476A-BAC8-23913271452A}"/>
    <hyperlink ref="Q16" r:id="rId15" xr:uid="{8A45C255-7F29-43E6-BF66-21244829EF09}"/>
    <hyperlink ref="Q17" r:id="rId16" xr:uid="{9AF950C0-F1FB-4E7C-A70A-817F96E8EFC9}"/>
    <hyperlink ref="Q18" r:id="rId17" xr:uid="{88E39982-A925-4E2F-8CFD-D74736406B1F}"/>
    <hyperlink ref="Q19" r:id="rId18" xr:uid="{2CADBC9D-18C8-4315-8E5C-BEC4E526DEA3}"/>
    <hyperlink ref="Q20" r:id="rId19" xr:uid="{5D3BCDB0-1E8C-4C24-AD23-D1F96718D2D6}"/>
    <hyperlink ref="Q21" r:id="rId20" xr:uid="{B8700D14-3BE2-46A5-ADF7-66B0F81739C4}"/>
  </hyperlinks>
  <pageMargins left="0.7" right="0.7" top="0.75" bottom="0.75" header="0.3" footer="0.3"/>
  <tableParts count="1">
    <tablePart r:id="rId21"/>
  </tableParts>
  <extLst>
    <ext xmlns:x14="http://schemas.microsoft.com/office/spreadsheetml/2009/9/main" uri="{78C0D931-6437-407d-A8EE-F0AAD7539E65}">
      <x14:conditionalFormattings>
        <x14:conditionalFormatting xmlns:xm="http://schemas.microsoft.com/office/excel/2006/main">
          <x14:cfRule type="containsText" priority="5" operator="containsText" id="{431800ED-594B-467B-9C00-FA57F28C3C76}">
            <xm:f>NOT(ISERROR(SEARCH($U$2,U2)))</xm:f>
            <xm:f>$U$2</xm:f>
            <x14:dxf>
              <font>
                <color rgb="FF9C5700"/>
              </font>
              <fill>
                <patternFill>
                  <bgColor rgb="FFFFEB9C"/>
                </patternFill>
              </fill>
            </x14:dxf>
          </x14:cfRule>
          <xm:sqref>U2:U21</xm:sqref>
        </x14:conditionalFormatting>
        <x14:conditionalFormatting xmlns:xm="http://schemas.microsoft.com/office/excel/2006/main">
          <x14:cfRule type="containsText" priority="2" operator="containsText" id="{8995888B-4E61-4189-84B6-E1C07ABDC51F}">
            <xm:f>NOT(ISERROR(SEARCH($M$4,M2)))</xm:f>
            <xm:f>$M$4</xm:f>
            <x14:dxf>
              <font>
                <color rgb="FF9C0006"/>
              </font>
              <fill>
                <patternFill>
                  <bgColor rgb="FFFFC7CE"/>
                </patternFill>
              </fill>
            </x14:dxf>
          </x14:cfRule>
          <xm:sqref>M2:M21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47D95-0142-4829-844B-87506F196D6D}">
  <dimension ref="A1:AE32"/>
  <sheetViews>
    <sheetView workbookViewId="0">
      <selection activeCell="A2" sqref="A2"/>
    </sheetView>
  </sheetViews>
  <sheetFormatPr defaultRowHeight="15"/>
  <cols>
    <col min="1" max="1" width="15" bestFit="1" customWidth="1"/>
    <col min="2" max="2" width="18.7109375" bestFit="1" customWidth="1"/>
    <col min="3" max="3" width="10" bestFit="1" customWidth="1"/>
    <col min="4" max="4" width="6.7109375" bestFit="1" customWidth="1"/>
    <col min="5" max="5" width="12" customWidth="1"/>
    <col min="6" max="6" width="19.7109375" bestFit="1" customWidth="1"/>
    <col min="7" max="7" width="21.7109375" bestFit="1" customWidth="1"/>
    <col min="8" max="8" width="14.140625" bestFit="1" customWidth="1"/>
    <col min="9" max="9" width="18" customWidth="1"/>
    <col min="10" max="10" width="21.5703125" bestFit="1" customWidth="1"/>
    <col min="11" max="11" width="16.42578125" bestFit="1" customWidth="1"/>
    <col min="12" max="12" width="14.5703125" bestFit="1" customWidth="1"/>
    <col min="13" max="13" width="12.28515625" bestFit="1" customWidth="1"/>
    <col min="14" max="14" width="15.140625" bestFit="1" customWidth="1"/>
    <col min="15" max="15" width="16.140625" bestFit="1" customWidth="1"/>
    <col min="16" max="16" width="15.7109375" bestFit="1" customWidth="1"/>
    <col min="17" max="17" width="33.28515625" style="7" bestFit="1" customWidth="1"/>
    <col min="18" max="18" width="17.5703125" bestFit="1" customWidth="1"/>
    <col min="19" max="19" width="12.42578125" bestFit="1" customWidth="1"/>
    <col min="20" max="20" width="17.42578125" bestFit="1" customWidth="1"/>
    <col min="21" max="21" width="21.28515625" bestFit="1" customWidth="1"/>
    <col min="22" max="22" width="14.28515625" bestFit="1" customWidth="1"/>
    <col min="23" max="23" width="22.7109375" bestFit="1" customWidth="1"/>
    <col min="24" max="24" width="21.140625" bestFit="1" customWidth="1"/>
    <col min="25" max="25" width="12.140625" customWidth="1"/>
    <col min="26" max="26" width="30.85546875" bestFit="1" customWidth="1"/>
    <col min="27" max="27" width="13.140625" bestFit="1" customWidth="1"/>
    <col min="28" max="28" width="16.42578125" bestFit="1" customWidth="1"/>
    <col min="29" max="29" width="21.140625" bestFit="1" customWidth="1"/>
    <col min="30" max="30" width="13.140625" bestFit="1" customWidth="1"/>
    <col min="31" max="31" width="17.140625" customWidth="1"/>
  </cols>
  <sheetData>
    <row r="1" spans="1:31" s="29" customFormat="1">
      <c r="A1" s="27" t="s">
        <v>0</v>
      </c>
      <c r="B1" s="24" t="s">
        <v>1</v>
      </c>
      <c r="C1" s="24" t="s">
        <v>148</v>
      </c>
      <c r="D1" s="28" t="s">
        <v>149</v>
      </c>
      <c r="E1" s="24" t="s">
        <v>5</v>
      </c>
      <c r="F1" s="24" t="s">
        <v>6</v>
      </c>
      <c r="G1" s="28" t="s">
        <v>7</v>
      </c>
      <c r="H1" s="28" t="s">
        <v>8</v>
      </c>
      <c r="I1" s="28" t="s">
        <v>9</v>
      </c>
      <c r="J1" s="28" t="s">
        <v>10</v>
      </c>
      <c r="K1" s="28" t="s">
        <v>11</v>
      </c>
      <c r="L1" s="24" t="s">
        <v>12</v>
      </c>
      <c r="M1" s="24" t="s">
        <v>13</v>
      </c>
      <c r="N1" s="24" t="s">
        <v>14</v>
      </c>
      <c r="O1" s="24" t="s">
        <v>15</v>
      </c>
      <c r="P1" s="24" t="s">
        <v>16</v>
      </c>
      <c r="Q1" s="24" t="s">
        <v>17</v>
      </c>
      <c r="R1" s="24" t="s">
        <v>18</v>
      </c>
      <c r="S1" s="24" t="s">
        <v>19</v>
      </c>
      <c r="T1" s="24" t="s">
        <v>20</v>
      </c>
      <c r="U1" s="24" t="s">
        <v>21</v>
      </c>
      <c r="V1" s="24" t="s">
        <v>22</v>
      </c>
      <c r="W1" s="24" t="s">
        <v>23</v>
      </c>
      <c r="X1" s="24" t="s">
        <v>24</v>
      </c>
      <c r="Y1" s="24" t="s">
        <v>25</v>
      </c>
      <c r="Z1" s="24" t="s">
        <v>26</v>
      </c>
      <c r="AA1" s="24" t="s">
        <v>153</v>
      </c>
      <c r="AB1" s="24" t="s">
        <v>154</v>
      </c>
      <c r="AC1" s="24" t="s">
        <v>163</v>
      </c>
      <c r="AD1" s="24" t="s">
        <v>164</v>
      </c>
      <c r="AE1" s="39" t="s">
        <v>165</v>
      </c>
    </row>
    <row r="2" spans="1:31">
      <c r="A2" s="20" t="s">
        <v>27</v>
      </c>
      <c r="B2" s="11" t="s">
        <v>150</v>
      </c>
      <c r="C2" s="11" t="s">
        <v>151</v>
      </c>
      <c r="D2" s="11">
        <v>39</v>
      </c>
      <c r="E2" s="12">
        <v>44681</v>
      </c>
      <c r="F2" s="12" t="s">
        <v>32</v>
      </c>
      <c r="G2" s="11">
        <v>5</v>
      </c>
      <c r="H2" s="11">
        <v>5</v>
      </c>
      <c r="I2" s="11" t="e" vm="1">
        <v>#VALUE!</v>
      </c>
      <c r="J2" s="11" t="s">
        <v>33</v>
      </c>
      <c r="K2" s="11" t="s">
        <v>34</v>
      </c>
      <c r="L2" s="11" t="s">
        <v>35</v>
      </c>
      <c r="M2" s="11" t="s">
        <v>36</v>
      </c>
      <c r="N2" s="11" t="s">
        <v>37</v>
      </c>
      <c r="O2" s="12">
        <v>39270</v>
      </c>
      <c r="P2" s="11" t="s">
        <v>38</v>
      </c>
      <c r="Q2" s="25" t="s">
        <v>39</v>
      </c>
      <c r="R2" s="11">
        <v>8976543210</v>
      </c>
      <c r="S2" s="11" t="s">
        <v>40</v>
      </c>
      <c r="T2" s="11" t="s">
        <v>41</v>
      </c>
      <c r="U2" s="11" t="s">
        <v>42</v>
      </c>
      <c r="V2" s="13">
        <v>28000</v>
      </c>
      <c r="W2" s="13">
        <v>2835</v>
      </c>
      <c r="X2" s="13">
        <v>2007</v>
      </c>
      <c r="Y2" s="13">
        <v>2185</v>
      </c>
      <c r="Z2" s="13">
        <v>12287</v>
      </c>
      <c r="AA2" s="14">
        <f>SUM(V2,W2,X2,Y2,Z2)</f>
        <v>47314</v>
      </c>
      <c r="AB2" s="22">
        <f>AA2*12</f>
        <v>567768</v>
      </c>
      <c r="AC2" s="34" t="str">
        <f>IF(Table134[[#This Row],[Performance_Rating]]&gt;5,"YES","NO")</f>
        <v>NO</v>
      </c>
      <c r="AD2" s="36">
        <f ca="1">YEARFRAC(Table134[[#This Row],[Joining_Date]],TODAY())</f>
        <v>4.2416666666666663</v>
      </c>
      <c r="AE2" s="11" t="str">
        <f ca="1">IF(Table134[[#This Row],[Experience]]&gt;3,"ELIGIBLE","NOT ELIGIBLE")</f>
        <v>ELIGIBLE</v>
      </c>
    </row>
    <row r="3" spans="1:31">
      <c r="A3" s="20" t="s">
        <v>43</v>
      </c>
      <c r="B3" s="10" t="s">
        <v>44</v>
      </c>
      <c r="C3" s="11" t="s">
        <v>151</v>
      </c>
      <c r="D3" s="11">
        <v>34</v>
      </c>
      <c r="E3" s="12">
        <v>45403</v>
      </c>
      <c r="F3" s="12" t="s">
        <v>48</v>
      </c>
      <c r="G3" s="11">
        <v>10</v>
      </c>
      <c r="H3" s="11">
        <v>5</v>
      </c>
      <c r="I3" s="11" t="e" vm="2">
        <v>#VALUE!</v>
      </c>
      <c r="J3" s="11" t="s">
        <v>33</v>
      </c>
      <c r="K3" s="11" t="s">
        <v>34</v>
      </c>
      <c r="L3" s="11" t="s">
        <v>49</v>
      </c>
      <c r="M3" s="11" t="s">
        <v>50</v>
      </c>
      <c r="N3" s="11" t="s">
        <v>51</v>
      </c>
      <c r="O3" s="12">
        <v>41114</v>
      </c>
      <c r="P3" s="11" t="s">
        <v>52</v>
      </c>
      <c r="Q3" s="25" t="s">
        <v>53</v>
      </c>
      <c r="R3" s="11">
        <v>9854362109</v>
      </c>
      <c r="S3" s="11" t="s">
        <v>54</v>
      </c>
      <c r="T3" s="11" t="s">
        <v>55</v>
      </c>
      <c r="U3" s="11" t="s">
        <v>56</v>
      </c>
      <c r="V3" s="13">
        <v>33000</v>
      </c>
      <c r="W3" s="13">
        <v>3133</v>
      </c>
      <c r="X3" s="13">
        <v>1870</v>
      </c>
      <c r="Y3" s="13">
        <v>1802</v>
      </c>
      <c r="Z3" s="13">
        <v>9740</v>
      </c>
      <c r="AA3" s="14">
        <f t="shared" ref="AA3:AA21" si="0">SUM(V3,W3,X3,Y3,Z3)</f>
        <v>49545</v>
      </c>
      <c r="AB3" s="22">
        <f t="shared" ref="AB3:AB21" si="1">AA3*12</f>
        <v>594540</v>
      </c>
      <c r="AC3" s="13" t="str">
        <f>IF(Table134[[#This Row],[Performance_Rating]]&gt;5,"YES","NO")</f>
        <v>YES</v>
      </c>
      <c r="AD3" s="37">
        <f ca="1">YEARFRAC(Table134[[#This Row],[Joining_Date]],TODAY())</f>
        <v>2.2666666666666666</v>
      </c>
      <c r="AE3" s="11" t="str">
        <f ca="1">IF(Table134[[#This Row],[Experience]]&gt;3,"ELIGIBLE","NOT ELIGIBLE")</f>
        <v>NOT ELIGIBLE</v>
      </c>
    </row>
    <row r="4" spans="1:31">
      <c r="A4" s="20" t="s">
        <v>57</v>
      </c>
      <c r="B4" s="11" t="s">
        <v>58</v>
      </c>
      <c r="C4" s="11" t="s">
        <v>152</v>
      </c>
      <c r="D4" s="11">
        <v>27</v>
      </c>
      <c r="E4" s="12">
        <v>45595</v>
      </c>
      <c r="F4" s="12" t="s">
        <v>62</v>
      </c>
      <c r="G4" s="11">
        <v>5</v>
      </c>
      <c r="H4" s="11">
        <v>8</v>
      </c>
      <c r="I4" s="11" t="e" vm="1">
        <v>#VALUE!</v>
      </c>
      <c r="J4" s="11" t="s">
        <v>33</v>
      </c>
      <c r="K4" s="11" t="s">
        <v>63</v>
      </c>
      <c r="L4" s="11" t="s">
        <v>64</v>
      </c>
      <c r="M4" s="11" t="s">
        <v>65</v>
      </c>
      <c r="N4" s="11" t="s">
        <v>66</v>
      </c>
      <c r="O4" s="12">
        <v>40810</v>
      </c>
      <c r="P4" s="11" t="s">
        <v>67</v>
      </c>
      <c r="Q4" s="25" t="s">
        <v>68</v>
      </c>
      <c r="R4" s="11">
        <v>9239456120</v>
      </c>
      <c r="S4" s="11" t="s">
        <v>69</v>
      </c>
      <c r="T4" s="11" t="s">
        <v>70</v>
      </c>
      <c r="U4" s="11" t="s">
        <v>42</v>
      </c>
      <c r="V4" s="13">
        <v>38000</v>
      </c>
      <c r="W4" s="13">
        <v>4320</v>
      </c>
      <c r="X4" s="13">
        <v>2147</v>
      </c>
      <c r="Y4" s="13">
        <v>2970</v>
      </c>
      <c r="Z4" s="13">
        <v>11982</v>
      </c>
      <c r="AA4" s="14">
        <f t="shared" si="0"/>
        <v>59419</v>
      </c>
      <c r="AB4" s="22">
        <f>AA4*12</f>
        <v>713028</v>
      </c>
      <c r="AC4" s="13" t="str">
        <f>IF(Table134[[#This Row],[Performance_Rating]]&gt;5,"YES","NO")</f>
        <v>NO</v>
      </c>
      <c r="AD4" s="37">
        <f ca="1">YEARFRAC(Table134[[#This Row],[Joining_Date]],TODAY())</f>
        <v>1.7416666666666667</v>
      </c>
      <c r="AE4" s="11" t="str">
        <f ca="1">IF(Table134[[#This Row],[Experience]]&gt;3,"ELIGIBLE","NOT ELIGIBLE")</f>
        <v>NOT ELIGIBLE</v>
      </c>
    </row>
    <row r="5" spans="1:31">
      <c r="A5" s="20" t="s">
        <v>71</v>
      </c>
      <c r="B5" s="10" t="s">
        <v>72</v>
      </c>
      <c r="C5" s="11" t="s">
        <v>151</v>
      </c>
      <c r="D5" s="11">
        <v>40</v>
      </c>
      <c r="E5" s="12">
        <v>45116</v>
      </c>
      <c r="F5" s="12" t="s">
        <v>76</v>
      </c>
      <c r="G5" s="11">
        <v>3</v>
      </c>
      <c r="H5" s="11">
        <v>5</v>
      </c>
      <c r="I5" s="11" t="e" vm="3">
        <v>#VALUE!</v>
      </c>
      <c r="J5" s="11" t="s">
        <v>33</v>
      </c>
      <c r="K5" s="11" t="s">
        <v>34</v>
      </c>
      <c r="L5" s="11" t="s">
        <v>35</v>
      </c>
      <c r="M5" s="11" t="s">
        <v>36</v>
      </c>
      <c r="N5" s="11" t="s">
        <v>51</v>
      </c>
      <c r="O5" s="12">
        <v>38238</v>
      </c>
      <c r="P5" s="11" t="s">
        <v>77</v>
      </c>
      <c r="Q5" s="25" t="s">
        <v>78</v>
      </c>
      <c r="R5" s="11">
        <v>8142736904</v>
      </c>
      <c r="S5" s="11" t="s">
        <v>40</v>
      </c>
      <c r="T5" s="11" t="s">
        <v>41</v>
      </c>
      <c r="U5" s="11" t="s">
        <v>56</v>
      </c>
      <c r="V5" s="13">
        <v>30000</v>
      </c>
      <c r="W5" s="13">
        <v>2656</v>
      </c>
      <c r="X5" s="13">
        <v>1794</v>
      </c>
      <c r="Y5" s="13">
        <v>1509</v>
      </c>
      <c r="Z5" s="13">
        <v>13491</v>
      </c>
      <c r="AA5" s="14">
        <f t="shared" si="0"/>
        <v>49450</v>
      </c>
      <c r="AB5" s="22">
        <f t="shared" si="1"/>
        <v>593400</v>
      </c>
      <c r="AC5" s="13" t="str">
        <f>IF(Table134[[#This Row],[Performance_Rating]]&gt;5,"YES","NO")</f>
        <v>NO</v>
      </c>
      <c r="AD5" s="37">
        <f ca="1">YEARFRAC(Table134[[#This Row],[Joining_Date]],TODAY())</f>
        <v>3.05</v>
      </c>
      <c r="AE5" s="11" t="str">
        <f ca="1">IF(Table134[[#This Row],[Experience]]&gt;3,"ELIGIBLE","NOT ELIGIBLE")</f>
        <v>ELIGIBLE</v>
      </c>
    </row>
    <row r="6" spans="1:31">
      <c r="A6" s="20" t="s">
        <v>79</v>
      </c>
      <c r="B6" s="10" t="s">
        <v>80</v>
      </c>
      <c r="C6" s="11" t="s">
        <v>152</v>
      </c>
      <c r="D6" s="11">
        <v>22</v>
      </c>
      <c r="E6" s="12">
        <v>45715</v>
      </c>
      <c r="F6" s="11" t="s">
        <v>84</v>
      </c>
      <c r="G6" s="11">
        <v>7</v>
      </c>
      <c r="H6" s="11">
        <v>7</v>
      </c>
      <c r="I6" s="11" t="e" vm="4">
        <v>#VALUE!</v>
      </c>
      <c r="J6" s="11" t="s">
        <v>33</v>
      </c>
      <c r="K6" s="11" t="s">
        <v>63</v>
      </c>
      <c r="L6" s="11" t="s">
        <v>49</v>
      </c>
      <c r="M6" s="11" t="s">
        <v>50</v>
      </c>
      <c r="N6" s="11" t="s">
        <v>37</v>
      </c>
      <c r="O6" s="12">
        <v>43361</v>
      </c>
      <c r="P6" s="11" t="s">
        <v>38</v>
      </c>
      <c r="Q6" s="25" t="s">
        <v>85</v>
      </c>
      <c r="R6" s="11">
        <v>8956633103</v>
      </c>
      <c r="S6" s="11" t="s">
        <v>54</v>
      </c>
      <c r="T6" s="11" t="s">
        <v>55</v>
      </c>
      <c r="U6" s="11" t="s">
        <v>42</v>
      </c>
      <c r="V6" s="13">
        <v>52000</v>
      </c>
      <c r="W6" s="13">
        <v>3674</v>
      </c>
      <c r="X6" s="13">
        <v>1800</v>
      </c>
      <c r="Y6" s="13">
        <v>1075</v>
      </c>
      <c r="Z6" s="13">
        <v>11935</v>
      </c>
      <c r="AA6" s="14">
        <f t="shared" si="0"/>
        <v>70484</v>
      </c>
      <c r="AB6" s="22">
        <f t="shared" si="1"/>
        <v>845808</v>
      </c>
      <c r="AC6" s="13" t="str">
        <f>IF(Table134[[#This Row],[Performance_Rating]]&gt;5,"YES","NO")</f>
        <v>YES</v>
      </c>
      <c r="AD6" s="37">
        <f ca="1">YEARFRAC(Table134[[#This Row],[Joining_Date]],TODAY())</f>
        <v>1.4166666666666667</v>
      </c>
      <c r="AE6" s="11" t="str">
        <f ca="1">IF(Table134[[#This Row],[Experience]]&gt;3,"ELIGIBLE","NOT ELIGIBLE")</f>
        <v>NOT ELIGIBLE</v>
      </c>
    </row>
    <row r="7" spans="1:31">
      <c r="A7" s="20" t="s">
        <v>86</v>
      </c>
      <c r="B7" s="10" t="s">
        <v>87</v>
      </c>
      <c r="C7" s="11" t="s">
        <v>152</v>
      </c>
      <c r="D7" s="11">
        <v>23</v>
      </c>
      <c r="E7" s="12">
        <v>46156</v>
      </c>
      <c r="F7" s="12" t="s">
        <v>32</v>
      </c>
      <c r="G7" s="11">
        <v>9</v>
      </c>
      <c r="H7" s="11">
        <v>8</v>
      </c>
      <c r="I7" s="11" t="e" vm="5">
        <v>#VALUE!</v>
      </c>
      <c r="J7" s="11" t="s">
        <v>33</v>
      </c>
      <c r="K7" s="11" t="s">
        <v>34</v>
      </c>
      <c r="L7" s="11" t="s">
        <v>64</v>
      </c>
      <c r="M7" s="11" t="s">
        <v>65</v>
      </c>
      <c r="N7" s="11" t="s">
        <v>66</v>
      </c>
      <c r="O7" s="12">
        <v>39843</v>
      </c>
      <c r="P7" s="11" t="s">
        <v>52</v>
      </c>
      <c r="Q7" s="25" t="s">
        <v>91</v>
      </c>
      <c r="R7" s="11">
        <v>9175514319</v>
      </c>
      <c r="S7" s="11" t="s">
        <v>69</v>
      </c>
      <c r="T7" s="11" t="s">
        <v>70</v>
      </c>
      <c r="U7" s="11" t="s">
        <v>42</v>
      </c>
      <c r="V7" s="13">
        <v>45000</v>
      </c>
      <c r="W7" s="13">
        <v>5870</v>
      </c>
      <c r="X7" s="13">
        <v>1875</v>
      </c>
      <c r="Y7" s="13">
        <v>1113</v>
      </c>
      <c r="Z7" s="13">
        <v>11161</v>
      </c>
      <c r="AA7" s="14">
        <f t="shared" si="0"/>
        <v>65019</v>
      </c>
      <c r="AB7" s="22">
        <f t="shared" si="1"/>
        <v>780228</v>
      </c>
      <c r="AC7" s="13" t="str">
        <f>IF(Table134[[#This Row],[Performance_Rating]]&gt;5,"YES","NO")</f>
        <v>YES</v>
      </c>
      <c r="AD7" s="37">
        <f ca="1">YEARFRAC(Table134[[#This Row],[Joining_Date]],TODAY())</f>
        <v>0.20277777777777778</v>
      </c>
      <c r="AE7" s="11" t="str">
        <f ca="1">IF(Table134[[#This Row],[Experience]]&gt;3,"ELIGIBLE","NOT ELIGIBLE")</f>
        <v>NOT ELIGIBLE</v>
      </c>
    </row>
    <row r="8" spans="1:31">
      <c r="A8" s="20" t="s">
        <v>92</v>
      </c>
      <c r="B8" s="11" t="s">
        <v>93</v>
      </c>
      <c r="C8" s="11" t="s">
        <v>152</v>
      </c>
      <c r="D8" s="11">
        <v>22</v>
      </c>
      <c r="E8" s="12">
        <v>44363</v>
      </c>
      <c r="F8" s="12" t="s">
        <v>48</v>
      </c>
      <c r="G8" s="11">
        <v>8</v>
      </c>
      <c r="H8" s="11">
        <v>7</v>
      </c>
      <c r="I8" s="11" t="e" vm="6">
        <v>#VALUE!</v>
      </c>
      <c r="J8" s="11" t="s">
        <v>33</v>
      </c>
      <c r="K8" s="11" t="s">
        <v>63</v>
      </c>
      <c r="L8" s="11" t="s">
        <v>49</v>
      </c>
      <c r="M8" s="11" t="s">
        <v>65</v>
      </c>
      <c r="N8" s="11" t="s">
        <v>37</v>
      </c>
      <c r="O8" s="12">
        <v>40675</v>
      </c>
      <c r="P8" s="11" t="s">
        <v>67</v>
      </c>
      <c r="Q8" s="25" t="s">
        <v>95</v>
      </c>
      <c r="R8" s="11">
        <v>9320792333</v>
      </c>
      <c r="S8" s="11" t="s">
        <v>40</v>
      </c>
      <c r="T8" s="11" t="s">
        <v>41</v>
      </c>
      <c r="U8" s="11" t="s">
        <v>56</v>
      </c>
      <c r="V8" s="13">
        <v>25000</v>
      </c>
      <c r="W8" s="13">
        <v>4236</v>
      </c>
      <c r="X8" s="13">
        <v>1479</v>
      </c>
      <c r="Y8" s="13">
        <v>1260</v>
      </c>
      <c r="Z8" s="13">
        <v>15956</v>
      </c>
      <c r="AA8" s="14">
        <f t="shared" si="0"/>
        <v>47931</v>
      </c>
      <c r="AB8" s="22">
        <f t="shared" si="1"/>
        <v>575172</v>
      </c>
      <c r="AC8" s="13" t="str">
        <f>IF(Table134[[#This Row],[Performance_Rating]]&gt;5,"YES","NO")</f>
        <v>YES</v>
      </c>
      <c r="AD8" s="37">
        <f ca="1">YEARFRAC(Table134[[#This Row],[Joining_Date]],TODAY())</f>
        <v>5.1138888888888889</v>
      </c>
      <c r="AE8" s="11" t="str">
        <f ca="1">IF(Table134[[#This Row],[Experience]]&gt;3,"ELIGIBLE","NOT ELIGIBLE")</f>
        <v>ELIGIBLE</v>
      </c>
    </row>
    <row r="9" spans="1:31">
      <c r="A9" s="20" t="s">
        <v>96</v>
      </c>
      <c r="B9" s="10" t="s">
        <v>97</v>
      </c>
      <c r="C9" s="11" t="s">
        <v>151</v>
      </c>
      <c r="D9" s="11">
        <v>40</v>
      </c>
      <c r="E9" s="12">
        <v>45727</v>
      </c>
      <c r="F9" s="12" t="s">
        <v>62</v>
      </c>
      <c r="G9" s="11">
        <v>2</v>
      </c>
      <c r="H9" s="11">
        <v>7</v>
      </c>
      <c r="I9" s="11" t="e" vm="7">
        <v>#VALUE!</v>
      </c>
      <c r="J9" s="11" t="s">
        <v>33</v>
      </c>
      <c r="K9" s="11" t="s">
        <v>63</v>
      </c>
      <c r="L9" s="11" t="s">
        <v>64</v>
      </c>
      <c r="M9" s="11" t="s">
        <v>36</v>
      </c>
      <c r="N9" s="11" t="s">
        <v>51</v>
      </c>
      <c r="O9" s="12">
        <v>41180</v>
      </c>
      <c r="P9" s="11" t="s">
        <v>77</v>
      </c>
      <c r="Q9" s="25" t="s">
        <v>99</v>
      </c>
      <c r="R9" s="11">
        <v>8108881430</v>
      </c>
      <c r="S9" s="11" t="s">
        <v>54</v>
      </c>
      <c r="T9" s="11" t="s">
        <v>55</v>
      </c>
      <c r="U9" s="11" t="s">
        <v>42</v>
      </c>
      <c r="V9" s="13">
        <v>48000</v>
      </c>
      <c r="W9" s="13">
        <v>4857</v>
      </c>
      <c r="X9" s="13">
        <v>2460</v>
      </c>
      <c r="Y9" s="13">
        <v>2814</v>
      </c>
      <c r="Z9" s="13">
        <v>10795</v>
      </c>
      <c r="AA9" s="14">
        <f t="shared" si="0"/>
        <v>68926</v>
      </c>
      <c r="AB9" s="22">
        <f t="shared" si="1"/>
        <v>827112</v>
      </c>
      <c r="AC9" s="13" t="str">
        <f>IF(Table134[[#This Row],[Performance_Rating]]&gt;5,"YES","NO")</f>
        <v>NO</v>
      </c>
      <c r="AD9" s="37">
        <f ca="1">YEARFRAC(Table134[[#This Row],[Joining_Date]],TODAY())</f>
        <v>1.3777777777777778</v>
      </c>
      <c r="AE9" s="11" t="str">
        <f ca="1">IF(Table134[[#This Row],[Experience]]&gt;3,"ELIGIBLE","NOT ELIGIBLE")</f>
        <v>NOT ELIGIBLE</v>
      </c>
    </row>
    <row r="10" spans="1:31">
      <c r="A10" s="20" t="s">
        <v>100</v>
      </c>
      <c r="B10" s="10" t="s">
        <v>101</v>
      </c>
      <c r="C10" s="11" t="s">
        <v>152</v>
      </c>
      <c r="D10" s="11">
        <v>27</v>
      </c>
      <c r="E10" s="12">
        <v>44688</v>
      </c>
      <c r="F10" s="12" t="s">
        <v>76</v>
      </c>
      <c r="G10" s="11">
        <v>9</v>
      </c>
      <c r="H10" s="11">
        <v>5</v>
      </c>
      <c r="I10" s="11" t="e" vm="8">
        <v>#VALUE!</v>
      </c>
      <c r="J10" s="11" t="s">
        <v>33</v>
      </c>
      <c r="K10" s="11" t="s">
        <v>34</v>
      </c>
      <c r="L10" s="11" t="s">
        <v>35</v>
      </c>
      <c r="M10" s="11" t="s">
        <v>50</v>
      </c>
      <c r="N10" s="11" t="s">
        <v>66</v>
      </c>
      <c r="O10" s="12">
        <v>41882</v>
      </c>
      <c r="P10" s="11" t="s">
        <v>38</v>
      </c>
      <c r="Q10" s="25" t="s">
        <v>102</v>
      </c>
      <c r="R10" s="11">
        <v>9623120150</v>
      </c>
      <c r="S10" s="11" t="s">
        <v>69</v>
      </c>
      <c r="T10" s="11" t="s">
        <v>70</v>
      </c>
      <c r="U10" s="11" t="s">
        <v>56</v>
      </c>
      <c r="V10" s="13">
        <v>31000</v>
      </c>
      <c r="W10" s="13">
        <v>4746</v>
      </c>
      <c r="X10" s="13">
        <v>2490</v>
      </c>
      <c r="Y10" s="13">
        <v>1122</v>
      </c>
      <c r="Z10" s="13">
        <v>9064</v>
      </c>
      <c r="AA10" s="14">
        <f t="shared" si="0"/>
        <v>48422</v>
      </c>
      <c r="AB10" s="22">
        <f t="shared" si="1"/>
        <v>581064</v>
      </c>
      <c r="AC10" s="13" t="str">
        <f>IF(Table134[[#This Row],[Performance_Rating]]&gt;5,"YES","NO")</f>
        <v>YES</v>
      </c>
      <c r="AD10" s="37">
        <f ca="1">YEARFRAC(Table134[[#This Row],[Joining_Date]],TODAY())</f>
        <v>4.2222222222222223</v>
      </c>
      <c r="AE10" s="11" t="str">
        <f ca="1">IF(Table134[[#This Row],[Experience]]&gt;3,"ELIGIBLE","NOT ELIGIBLE")</f>
        <v>ELIGIBLE</v>
      </c>
    </row>
    <row r="11" spans="1:31">
      <c r="A11" s="20" t="s">
        <v>103</v>
      </c>
      <c r="B11" s="10" t="s">
        <v>104</v>
      </c>
      <c r="C11" s="11" t="s">
        <v>151</v>
      </c>
      <c r="D11" s="11">
        <v>39</v>
      </c>
      <c r="E11" s="12">
        <v>45947</v>
      </c>
      <c r="F11" s="11" t="s">
        <v>84</v>
      </c>
      <c r="G11" s="11">
        <v>10</v>
      </c>
      <c r="H11" s="11">
        <v>8</v>
      </c>
      <c r="I11" s="11" t="e" vm="9">
        <v>#VALUE!</v>
      </c>
      <c r="J11" s="11" t="s">
        <v>33</v>
      </c>
      <c r="K11" s="11" t="s">
        <v>63</v>
      </c>
      <c r="L11" s="11" t="s">
        <v>49</v>
      </c>
      <c r="M11" s="11" t="s">
        <v>65</v>
      </c>
      <c r="N11" s="11" t="s">
        <v>51</v>
      </c>
      <c r="O11" s="12">
        <v>39461</v>
      </c>
      <c r="P11" s="11" t="s">
        <v>77</v>
      </c>
      <c r="Q11" s="25" t="s">
        <v>105</v>
      </c>
      <c r="R11" s="11">
        <v>9832564390</v>
      </c>
      <c r="S11" s="11" t="s">
        <v>40</v>
      </c>
      <c r="T11" s="11" t="s">
        <v>41</v>
      </c>
      <c r="U11" s="11" t="s">
        <v>42</v>
      </c>
      <c r="V11" s="13">
        <v>29000</v>
      </c>
      <c r="W11" s="13">
        <v>4525</v>
      </c>
      <c r="X11" s="13">
        <v>2087</v>
      </c>
      <c r="Y11" s="13">
        <v>2358</v>
      </c>
      <c r="Z11" s="13">
        <v>15172</v>
      </c>
      <c r="AA11" s="14">
        <f t="shared" si="0"/>
        <v>53142</v>
      </c>
      <c r="AB11" s="22">
        <f t="shared" si="1"/>
        <v>637704</v>
      </c>
      <c r="AC11" s="13" t="str">
        <f>IF(Table134[[#This Row],[Performance_Rating]]&gt;5,"YES","NO")</f>
        <v>YES</v>
      </c>
      <c r="AD11" s="37">
        <f ca="1">YEARFRAC(Table134[[#This Row],[Joining_Date]],TODAY())</f>
        <v>0.77777777777777779</v>
      </c>
      <c r="AE11" s="11" t="str">
        <f ca="1">IF(Table134[[#This Row],[Experience]]&gt;3,"ELIGIBLE","NOT ELIGIBLE")</f>
        <v>NOT ELIGIBLE</v>
      </c>
    </row>
    <row r="12" spans="1:31">
      <c r="A12" s="20" t="s">
        <v>106</v>
      </c>
      <c r="B12" s="10" t="s">
        <v>107</v>
      </c>
      <c r="C12" s="11" t="s">
        <v>152</v>
      </c>
      <c r="D12" s="11">
        <v>45</v>
      </c>
      <c r="E12" s="12">
        <v>44524</v>
      </c>
      <c r="F12" s="12" t="s">
        <v>32</v>
      </c>
      <c r="G12" s="11">
        <v>3</v>
      </c>
      <c r="H12" s="11">
        <v>8</v>
      </c>
      <c r="I12" s="11" t="e" vm="10">
        <v>#VALUE!</v>
      </c>
      <c r="J12" s="11" t="s">
        <v>33</v>
      </c>
      <c r="K12" s="11" t="s">
        <v>34</v>
      </c>
      <c r="L12" s="11" t="s">
        <v>64</v>
      </c>
      <c r="M12" s="11" t="s">
        <v>65</v>
      </c>
      <c r="N12" s="11" t="s">
        <v>51</v>
      </c>
      <c r="O12" s="12">
        <v>40105</v>
      </c>
      <c r="P12" s="11" t="s">
        <v>38</v>
      </c>
      <c r="Q12" s="25" t="s">
        <v>109</v>
      </c>
      <c r="R12" s="11">
        <v>8765234120</v>
      </c>
      <c r="S12" s="11" t="s">
        <v>54</v>
      </c>
      <c r="T12" s="11" t="s">
        <v>55</v>
      </c>
      <c r="U12" s="11" t="s">
        <v>56</v>
      </c>
      <c r="V12" s="13">
        <v>55000</v>
      </c>
      <c r="W12" s="13">
        <v>5399</v>
      </c>
      <c r="X12" s="13">
        <v>2006</v>
      </c>
      <c r="Y12" s="13">
        <v>1984</v>
      </c>
      <c r="Z12" s="13">
        <v>15278</v>
      </c>
      <c r="AA12" s="14">
        <f t="shared" si="0"/>
        <v>79667</v>
      </c>
      <c r="AB12" s="22">
        <f t="shared" si="1"/>
        <v>956004</v>
      </c>
      <c r="AC12" s="13" t="str">
        <f>IF(Table134[[#This Row],[Performance_Rating]]&gt;5,"YES","NO")</f>
        <v>NO</v>
      </c>
      <c r="AD12" s="37">
        <f ca="1">YEARFRAC(Table134[[#This Row],[Joining_Date]],TODAY())</f>
        <v>4.6749999999999998</v>
      </c>
      <c r="AE12" s="11" t="str">
        <f ca="1">IF(Table134[[#This Row],[Experience]]&gt;3,"ELIGIBLE","NOT ELIGIBLE")</f>
        <v>ELIGIBLE</v>
      </c>
    </row>
    <row r="13" spans="1:31">
      <c r="A13" s="20" t="s">
        <v>110</v>
      </c>
      <c r="B13" s="10" t="s">
        <v>111</v>
      </c>
      <c r="C13" s="11" t="s">
        <v>151</v>
      </c>
      <c r="D13" s="11">
        <v>31</v>
      </c>
      <c r="E13" s="12">
        <v>45116</v>
      </c>
      <c r="F13" s="12" t="s">
        <v>48</v>
      </c>
      <c r="G13" s="11">
        <v>5</v>
      </c>
      <c r="H13" s="11">
        <v>7</v>
      </c>
      <c r="I13" s="11" t="e" vm="11">
        <v>#VALUE!</v>
      </c>
      <c r="J13" s="11" t="s">
        <v>33</v>
      </c>
      <c r="K13" s="11" t="s">
        <v>34</v>
      </c>
      <c r="L13" s="11" t="s">
        <v>35</v>
      </c>
      <c r="M13" s="11" t="s">
        <v>36</v>
      </c>
      <c r="N13" s="11" t="s">
        <v>66</v>
      </c>
      <c r="O13" s="12">
        <v>41235</v>
      </c>
      <c r="P13" s="11" t="s">
        <v>52</v>
      </c>
      <c r="Q13" s="25" t="s">
        <v>114</v>
      </c>
      <c r="R13" s="11">
        <v>9808602317</v>
      </c>
      <c r="S13" s="11" t="s">
        <v>69</v>
      </c>
      <c r="T13" s="11" t="s">
        <v>70</v>
      </c>
      <c r="U13" s="11" t="s">
        <v>42</v>
      </c>
      <c r="V13" s="13">
        <v>42000</v>
      </c>
      <c r="W13" s="13">
        <v>5836</v>
      </c>
      <c r="X13" s="13">
        <v>2233</v>
      </c>
      <c r="Y13" s="13">
        <v>1115</v>
      </c>
      <c r="Z13" s="13">
        <v>15838</v>
      </c>
      <c r="AA13" s="14">
        <f t="shared" si="0"/>
        <v>67022</v>
      </c>
      <c r="AB13" s="22">
        <f t="shared" si="1"/>
        <v>804264</v>
      </c>
      <c r="AC13" s="13" t="str">
        <f>IF(Table134[[#This Row],[Performance_Rating]]&gt;5,"YES","NO")</f>
        <v>NO</v>
      </c>
      <c r="AD13" s="37">
        <f ca="1">YEARFRAC(Table134[[#This Row],[Joining_Date]],TODAY())</f>
        <v>3.05</v>
      </c>
      <c r="AE13" s="11" t="str">
        <f ca="1">IF(Table134[[#This Row],[Experience]]&gt;3,"ELIGIBLE","NOT ELIGIBLE")</f>
        <v>ELIGIBLE</v>
      </c>
    </row>
    <row r="14" spans="1:31">
      <c r="A14" s="20" t="s">
        <v>115</v>
      </c>
      <c r="B14" s="11" t="s">
        <v>116</v>
      </c>
      <c r="C14" s="11" t="s">
        <v>152</v>
      </c>
      <c r="D14" s="11">
        <v>34</v>
      </c>
      <c r="E14" s="12">
        <v>45495</v>
      </c>
      <c r="F14" s="12" t="s">
        <v>62</v>
      </c>
      <c r="G14" s="11">
        <v>3</v>
      </c>
      <c r="H14" s="11">
        <v>4</v>
      </c>
      <c r="I14" s="11" t="e" vm="12">
        <v>#VALUE!</v>
      </c>
      <c r="J14" s="11" t="s">
        <v>33</v>
      </c>
      <c r="K14" s="11" t="s">
        <v>63</v>
      </c>
      <c r="L14" s="11" t="s">
        <v>49</v>
      </c>
      <c r="M14" s="11" t="s">
        <v>36</v>
      </c>
      <c r="N14" s="11" t="s">
        <v>37</v>
      </c>
      <c r="O14" s="12">
        <v>42420</v>
      </c>
      <c r="P14" s="11" t="s">
        <v>67</v>
      </c>
      <c r="Q14" s="25" t="s">
        <v>118</v>
      </c>
      <c r="R14" s="11">
        <v>9010302040</v>
      </c>
      <c r="S14" s="11" t="s">
        <v>40</v>
      </c>
      <c r="T14" s="11" t="s">
        <v>41</v>
      </c>
      <c r="U14" s="11" t="s">
        <v>56</v>
      </c>
      <c r="V14" s="13">
        <v>37000</v>
      </c>
      <c r="W14" s="13">
        <v>3391</v>
      </c>
      <c r="X14" s="13">
        <v>2385</v>
      </c>
      <c r="Y14" s="13">
        <v>2371</v>
      </c>
      <c r="Z14" s="13">
        <v>10211</v>
      </c>
      <c r="AA14" s="14">
        <f t="shared" si="0"/>
        <v>55358</v>
      </c>
      <c r="AB14" s="22">
        <f t="shared" si="1"/>
        <v>664296</v>
      </c>
      <c r="AC14" s="13" t="str">
        <f>IF(Table134[[#This Row],[Performance_Rating]]&gt;5,"YES","NO")</f>
        <v>NO</v>
      </c>
      <c r="AD14" s="37">
        <f ca="1">YEARFRAC(Table134[[#This Row],[Joining_Date]],TODAY())</f>
        <v>2.0138888888888888</v>
      </c>
      <c r="AE14" s="11" t="str">
        <f ca="1">IF(Table134[[#This Row],[Experience]]&gt;3,"ELIGIBLE","NOT ELIGIBLE")</f>
        <v>NOT ELIGIBLE</v>
      </c>
    </row>
    <row r="15" spans="1:31">
      <c r="A15" s="20" t="s">
        <v>119</v>
      </c>
      <c r="B15" s="10" t="s">
        <v>120</v>
      </c>
      <c r="C15" s="11" t="s">
        <v>151</v>
      </c>
      <c r="D15" s="11">
        <v>21</v>
      </c>
      <c r="E15" s="12">
        <v>44433</v>
      </c>
      <c r="F15" s="12" t="s">
        <v>76</v>
      </c>
      <c r="G15" s="11">
        <v>7</v>
      </c>
      <c r="H15" s="11">
        <v>6</v>
      </c>
      <c r="I15" s="11" t="e" vm="13">
        <v>#VALUE!</v>
      </c>
      <c r="J15" s="11" t="s">
        <v>33</v>
      </c>
      <c r="K15" s="11" t="s">
        <v>34</v>
      </c>
      <c r="L15" s="11" t="s">
        <v>64</v>
      </c>
      <c r="M15" s="11" t="s">
        <v>50</v>
      </c>
      <c r="N15" s="11" t="s">
        <v>66</v>
      </c>
      <c r="O15" s="12">
        <v>43340</v>
      </c>
      <c r="P15" s="11" t="s">
        <v>77</v>
      </c>
      <c r="Q15" s="25" t="s">
        <v>123</v>
      </c>
      <c r="R15" s="11">
        <v>9854320286</v>
      </c>
      <c r="S15" s="11" t="s">
        <v>54</v>
      </c>
      <c r="T15" s="11" t="s">
        <v>55</v>
      </c>
      <c r="U15" s="11" t="s">
        <v>42</v>
      </c>
      <c r="V15" s="13">
        <v>40000</v>
      </c>
      <c r="W15" s="13">
        <v>2322</v>
      </c>
      <c r="X15" s="13">
        <v>2013</v>
      </c>
      <c r="Y15" s="13">
        <v>1548</v>
      </c>
      <c r="Z15" s="13">
        <v>11267</v>
      </c>
      <c r="AA15" s="14">
        <f t="shared" si="0"/>
        <v>57150</v>
      </c>
      <c r="AB15" s="22">
        <f t="shared" si="1"/>
        <v>685800</v>
      </c>
      <c r="AC15" s="13" t="str">
        <f>IF(Table134[[#This Row],[Performance_Rating]]&gt;5,"YES","NO")</f>
        <v>YES</v>
      </c>
      <c r="AD15" s="37">
        <f ca="1">YEARFRAC(Table134[[#This Row],[Joining_Date]],TODAY())</f>
        <v>4.9222222222222225</v>
      </c>
      <c r="AE15" s="11" t="str">
        <f ca="1">IF(Table134[[#This Row],[Experience]]&gt;3,"ELIGIBLE","NOT ELIGIBLE")</f>
        <v>ELIGIBLE</v>
      </c>
    </row>
    <row r="16" spans="1:31">
      <c r="A16" s="20" t="s">
        <v>124</v>
      </c>
      <c r="B16" s="10" t="s">
        <v>125</v>
      </c>
      <c r="C16" s="11" t="s">
        <v>152</v>
      </c>
      <c r="D16" s="11">
        <v>24</v>
      </c>
      <c r="E16" s="12">
        <v>45988</v>
      </c>
      <c r="F16" s="11" t="s">
        <v>84</v>
      </c>
      <c r="G16" s="11">
        <v>5</v>
      </c>
      <c r="H16" s="11">
        <v>6</v>
      </c>
      <c r="I16" s="11" t="e" vm="14">
        <v>#VALUE!</v>
      </c>
      <c r="J16" s="11" t="s">
        <v>33</v>
      </c>
      <c r="K16" s="11" t="s">
        <v>63</v>
      </c>
      <c r="L16" s="11" t="s">
        <v>35</v>
      </c>
      <c r="M16" s="11" t="s">
        <v>65</v>
      </c>
      <c r="N16" s="11" t="s">
        <v>66</v>
      </c>
      <c r="O16" s="12">
        <v>40643</v>
      </c>
      <c r="P16" s="11" t="s">
        <v>38</v>
      </c>
      <c r="Q16" s="25" t="s">
        <v>128</v>
      </c>
      <c r="R16" s="11">
        <v>9027202587</v>
      </c>
      <c r="S16" s="11" t="s">
        <v>69</v>
      </c>
      <c r="T16" s="11" t="s">
        <v>70</v>
      </c>
      <c r="U16" s="11" t="s">
        <v>56</v>
      </c>
      <c r="V16" s="13">
        <v>38000</v>
      </c>
      <c r="W16" s="13">
        <v>4512</v>
      </c>
      <c r="X16" s="13">
        <v>1660</v>
      </c>
      <c r="Y16" s="13">
        <v>2582</v>
      </c>
      <c r="Z16" s="13">
        <v>13514</v>
      </c>
      <c r="AA16" s="14">
        <f t="shared" si="0"/>
        <v>60268</v>
      </c>
      <c r="AB16" s="22">
        <f t="shared" si="1"/>
        <v>723216</v>
      </c>
      <c r="AC16" s="13" t="str">
        <f>IF(Table134[[#This Row],[Performance_Rating]]&gt;5,"YES","NO")</f>
        <v>NO</v>
      </c>
      <c r="AD16" s="37">
        <f ca="1">YEARFRAC(Table134[[#This Row],[Joining_Date]],TODAY())</f>
        <v>0.66666666666666663</v>
      </c>
      <c r="AE16" s="11" t="str">
        <f ca="1">IF(Table134[[#This Row],[Experience]]&gt;3,"ELIGIBLE","NOT ELIGIBLE")</f>
        <v>NOT ELIGIBLE</v>
      </c>
    </row>
    <row r="17" spans="1:31">
      <c r="A17" s="20" t="s">
        <v>129</v>
      </c>
      <c r="B17" s="10" t="s">
        <v>130</v>
      </c>
      <c r="C17" s="11" t="s">
        <v>152</v>
      </c>
      <c r="D17" s="11">
        <v>32</v>
      </c>
      <c r="E17" s="12">
        <v>44273</v>
      </c>
      <c r="F17" s="12" t="s">
        <v>32</v>
      </c>
      <c r="G17" s="11">
        <v>5</v>
      </c>
      <c r="H17" s="11">
        <v>7</v>
      </c>
      <c r="I17" s="11" t="e" vm="11">
        <v>#VALUE!</v>
      </c>
      <c r="J17" s="11" t="s">
        <v>33</v>
      </c>
      <c r="K17" s="11" t="s">
        <v>34</v>
      </c>
      <c r="L17" s="11" t="s">
        <v>49</v>
      </c>
      <c r="M17" s="11" t="s">
        <v>65</v>
      </c>
      <c r="N17" s="11" t="s">
        <v>51</v>
      </c>
      <c r="O17" s="12">
        <v>41277</v>
      </c>
      <c r="P17" s="11" t="s">
        <v>52</v>
      </c>
      <c r="Q17" s="25" t="s">
        <v>132</v>
      </c>
      <c r="R17" s="11">
        <v>8785818089</v>
      </c>
      <c r="S17" s="11" t="s">
        <v>40</v>
      </c>
      <c r="T17" s="11" t="s">
        <v>41</v>
      </c>
      <c r="U17" s="11" t="s">
        <v>42</v>
      </c>
      <c r="V17" s="13">
        <v>34000</v>
      </c>
      <c r="W17" s="13">
        <v>3878</v>
      </c>
      <c r="X17" s="13">
        <v>1816</v>
      </c>
      <c r="Y17" s="13">
        <v>2189</v>
      </c>
      <c r="Z17" s="13">
        <v>14132</v>
      </c>
      <c r="AA17" s="14">
        <f t="shared" si="0"/>
        <v>56015</v>
      </c>
      <c r="AB17" s="22">
        <f t="shared" si="1"/>
        <v>672180</v>
      </c>
      <c r="AC17" s="13" t="str">
        <f>IF(Table134[[#This Row],[Performance_Rating]]&gt;5,"YES","NO")</f>
        <v>NO</v>
      </c>
      <c r="AD17" s="37">
        <f ca="1">YEARFRAC(Table134[[#This Row],[Joining_Date]],TODAY())</f>
        <v>5.3583333333333334</v>
      </c>
      <c r="AE17" s="11" t="str">
        <f ca="1">IF(Table134[[#This Row],[Experience]]&gt;3,"ELIGIBLE","NOT ELIGIBLE")</f>
        <v>ELIGIBLE</v>
      </c>
    </row>
    <row r="18" spans="1:31">
      <c r="A18" s="20" t="s">
        <v>133</v>
      </c>
      <c r="B18" s="11" t="s">
        <v>134</v>
      </c>
      <c r="C18" s="11" t="s">
        <v>151</v>
      </c>
      <c r="D18" s="11">
        <v>26</v>
      </c>
      <c r="E18" s="12">
        <v>45675</v>
      </c>
      <c r="F18" s="12" t="s">
        <v>48</v>
      </c>
      <c r="G18" s="11">
        <v>2</v>
      </c>
      <c r="H18" s="11">
        <v>8</v>
      </c>
      <c r="I18" s="11" t="e" vm="12">
        <v>#VALUE!</v>
      </c>
      <c r="J18" s="11" t="s">
        <v>33</v>
      </c>
      <c r="K18" s="11" t="s">
        <v>34</v>
      </c>
      <c r="L18" s="11" t="s">
        <v>49</v>
      </c>
      <c r="M18" s="11" t="s">
        <v>36</v>
      </c>
      <c r="N18" s="11" t="s">
        <v>37</v>
      </c>
      <c r="O18" s="12">
        <v>38276</v>
      </c>
      <c r="P18" s="11" t="s">
        <v>67</v>
      </c>
      <c r="Q18" s="25" t="s">
        <v>136</v>
      </c>
      <c r="R18" s="11">
        <v>8087812367</v>
      </c>
      <c r="S18" s="11" t="s">
        <v>54</v>
      </c>
      <c r="T18" s="11" t="s">
        <v>55</v>
      </c>
      <c r="U18" s="11" t="s">
        <v>56</v>
      </c>
      <c r="V18" s="13">
        <v>36000</v>
      </c>
      <c r="W18" s="13">
        <v>5168</v>
      </c>
      <c r="X18" s="13">
        <v>1925</v>
      </c>
      <c r="Y18" s="13">
        <v>1935</v>
      </c>
      <c r="Z18" s="13">
        <v>10916</v>
      </c>
      <c r="AA18" s="14">
        <f t="shared" si="0"/>
        <v>55944</v>
      </c>
      <c r="AB18" s="22">
        <f t="shared" si="1"/>
        <v>671328</v>
      </c>
      <c r="AC18" s="13" t="str">
        <f>IF(Table134[[#This Row],[Performance_Rating]]&gt;5,"YES","NO")</f>
        <v>NO</v>
      </c>
      <c r="AD18" s="37">
        <f ca="1">YEARFRAC(Table134[[#This Row],[Joining_Date]],TODAY())</f>
        <v>1.5249999999999999</v>
      </c>
      <c r="AE18" s="11" t="str">
        <f ca="1">IF(Table134[[#This Row],[Experience]]&gt;3,"ELIGIBLE","NOT ELIGIBLE")</f>
        <v>NOT ELIGIBLE</v>
      </c>
    </row>
    <row r="19" spans="1:31">
      <c r="A19" s="20" t="s">
        <v>137</v>
      </c>
      <c r="B19" s="11" t="s">
        <v>138</v>
      </c>
      <c r="C19" s="11" t="s">
        <v>152</v>
      </c>
      <c r="D19" s="11">
        <v>30</v>
      </c>
      <c r="E19" s="12">
        <v>44758</v>
      </c>
      <c r="F19" s="12" t="s">
        <v>62</v>
      </c>
      <c r="G19" s="11">
        <v>4</v>
      </c>
      <c r="H19" s="11">
        <v>5</v>
      </c>
      <c r="I19" s="11" t="e" vm="13">
        <v>#VALUE!</v>
      </c>
      <c r="J19" s="11" t="s">
        <v>33</v>
      </c>
      <c r="K19" s="11" t="s">
        <v>63</v>
      </c>
      <c r="L19" s="11" t="s">
        <v>64</v>
      </c>
      <c r="M19" s="11" t="s">
        <v>50</v>
      </c>
      <c r="N19" s="11" t="s">
        <v>66</v>
      </c>
      <c r="O19" s="12">
        <v>40128</v>
      </c>
      <c r="P19" s="11" t="s">
        <v>52</v>
      </c>
      <c r="Q19" s="25" t="s">
        <v>140</v>
      </c>
      <c r="R19" s="11">
        <v>8123456780</v>
      </c>
      <c r="S19" s="11" t="s">
        <v>69</v>
      </c>
      <c r="T19" s="11" t="s">
        <v>70</v>
      </c>
      <c r="U19" s="11" t="s">
        <v>42</v>
      </c>
      <c r="V19" s="13">
        <v>46000</v>
      </c>
      <c r="W19" s="13">
        <v>4723</v>
      </c>
      <c r="X19" s="13">
        <v>2454</v>
      </c>
      <c r="Y19" s="13">
        <v>2159</v>
      </c>
      <c r="Z19" s="13">
        <v>12524</v>
      </c>
      <c r="AA19" s="14">
        <f t="shared" si="0"/>
        <v>67860</v>
      </c>
      <c r="AB19" s="22">
        <f t="shared" si="1"/>
        <v>814320</v>
      </c>
      <c r="AC19" s="13" t="str">
        <f>IF(Table134[[#This Row],[Performance_Rating]]&gt;5,"YES","NO")</f>
        <v>NO</v>
      </c>
      <c r="AD19" s="37">
        <f ca="1">YEARFRAC(Table134[[#This Row],[Joining_Date]],TODAY())</f>
        <v>4.0305555555555559</v>
      </c>
      <c r="AE19" s="11" t="str">
        <f ca="1">IF(Table134[[#This Row],[Experience]]&gt;3,"ELIGIBLE","NOT ELIGIBLE")</f>
        <v>ELIGIBLE</v>
      </c>
    </row>
    <row r="20" spans="1:31">
      <c r="A20" s="20" t="s">
        <v>141</v>
      </c>
      <c r="B20" s="10" t="s">
        <v>142</v>
      </c>
      <c r="C20" s="11" t="s">
        <v>152</v>
      </c>
      <c r="D20" s="11">
        <v>27</v>
      </c>
      <c r="E20" s="12">
        <v>46005</v>
      </c>
      <c r="F20" s="12" t="s">
        <v>76</v>
      </c>
      <c r="G20" s="11">
        <v>2</v>
      </c>
      <c r="H20" s="11">
        <v>6</v>
      </c>
      <c r="I20" s="11" t="e" vm="14">
        <v>#VALUE!</v>
      </c>
      <c r="J20" s="11" t="s">
        <v>33</v>
      </c>
      <c r="K20" s="11" t="s">
        <v>34</v>
      </c>
      <c r="L20" s="11" t="s">
        <v>49</v>
      </c>
      <c r="M20" s="11" t="s">
        <v>65</v>
      </c>
      <c r="N20" s="11" t="s">
        <v>51</v>
      </c>
      <c r="O20" s="12">
        <v>40643</v>
      </c>
      <c r="P20" s="11" t="s">
        <v>38</v>
      </c>
      <c r="Q20" s="25" t="s">
        <v>143</v>
      </c>
      <c r="R20" s="11">
        <v>9087654321</v>
      </c>
      <c r="S20" s="11" t="s">
        <v>40</v>
      </c>
      <c r="T20" s="11" t="s">
        <v>41</v>
      </c>
      <c r="U20" s="11" t="s">
        <v>42</v>
      </c>
      <c r="V20" s="13">
        <v>32000</v>
      </c>
      <c r="W20" s="13">
        <v>2879</v>
      </c>
      <c r="X20" s="13">
        <v>2169</v>
      </c>
      <c r="Y20" s="13">
        <v>1695</v>
      </c>
      <c r="Z20" s="13">
        <v>14418</v>
      </c>
      <c r="AA20" s="14">
        <f t="shared" si="0"/>
        <v>53161</v>
      </c>
      <c r="AB20" s="22">
        <f t="shared" si="1"/>
        <v>637932</v>
      </c>
      <c r="AC20" s="13" t="str">
        <f>IF(Table134[[#This Row],[Performance_Rating]]&gt;5,"YES","NO")</f>
        <v>NO</v>
      </c>
      <c r="AD20" s="37">
        <f ca="1">YEARFRAC(Table134[[#This Row],[Joining_Date]],TODAY())</f>
        <v>0.61944444444444446</v>
      </c>
      <c r="AE20" s="11" t="str">
        <f ca="1">IF(Table134[[#This Row],[Experience]]&gt;3,"ELIGIBLE","NOT ELIGIBLE")</f>
        <v>NOT ELIGIBLE</v>
      </c>
    </row>
    <row r="21" spans="1:31">
      <c r="A21" s="21" t="s">
        <v>144</v>
      </c>
      <c r="B21" s="16" t="s">
        <v>145</v>
      </c>
      <c r="C21" s="15" t="s">
        <v>151</v>
      </c>
      <c r="D21" s="15">
        <v>35</v>
      </c>
      <c r="E21" s="17">
        <v>45283</v>
      </c>
      <c r="F21" s="15" t="s">
        <v>84</v>
      </c>
      <c r="G21" s="11">
        <v>2</v>
      </c>
      <c r="H21" s="15">
        <v>4</v>
      </c>
      <c r="I21" s="15" t="e" vm="13">
        <v>#VALUE!</v>
      </c>
      <c r="J21" s="15" t="s">
        <v>33</v>
      </c>
      <c r="K21" s="15" t="s">
        <v>63</v>
      </c>
      <c r="L21" s="15" t="s">
        <v>49</v>
      </c>
      <c r="M21" s="15" t="s">
        <v>65</v>
      </c>
      <c r="N21" s="15" t="s">
        <v>66</v>
      </c>
      <c r="O21" s="17">
        <v>37415</v>
      </c>
      <c r="P21" s="15" t="s">
        <v>52</v>
      </c>
      <c r="Q21" s="26" t="s">
        <v>147</v>
      </c>
      <c r="R21" s="15">
        <v>8292939495</v>
      </c>
      <c r="S21" s="15" t="s">
        <v>54</v>
      </c>
      <c r="T21" s="15" t="s">
        <v>55</v>
      </c>
      <c r="U21" s="15" t="s">
        <v>56</v>
      </c>
      <c r="V21" s="18">
        <v>50000</v>
      </c>
      <c r="W21" s="18">
        <v>4261</v>
      </c>
      <c r="X21" s="18">
        <v>2048</v>
      </c>
      <c r="Y21" s="18">
        <v>2951</v>
      </c>
      <c r="Z21" s="18">
        <v>15996</v>
      </c>
      <c r="AA21" s="19">
        <f t="shared" si="0"/>
        <v>75256</v>
      </c>
      <c r="AB21" s="23">
        <f t="shared" si="1"/>
        <v>903072</v>
      </c>
      <c r="AC21" s="18" t="str">
        <f>IF(Table134[[#This Row],[Performance_Rating]]&gt;5,"YES","NO")</f>
        <v>NO</v>
      </c>
      <c r="AD21" s="38">
        <f ca="1">YEARFRAC(Table134[[#This Row],[Joining_Date]],TODAY())</f>
        <v>2.5944444444444446</v>
      </c>
      <c r="AE21" s="11" t="str">
        <f ca="1">IF(Table134[[#This Row],[Experience]]&gt;3,"ELIGIBLE","NOT ELIGIBLE")</f>
        <v>NOT ELIGIBLE</v>
      </c>
    </row>
    <row r="22" spans="1:31">
      <c r="F22" s="35"/>
    </row>
    <row r="23" spans="1:31">
      <c r="F23" s="139" t="s">
        <v>157</v>
      </c>
      <c r="G23" s="139"/>
      <c r="H23" s="139"/>
      <c r="I23" s="139"/>
    </row>
    <row r="24" spans="1:31">
      <c r="A24" s="30"/>
      <c r="B24" s="31"/>
      <c r="C24" s="31"/>
      <c r="D24" s="31"/>
      <c r="E24" s="31"/>
      <c r="F24" s="137" t="s">
        <v>166</v>
      </c>
      <c r="G24" s="137"/>
      <c r="H24" s="137"/>
      <c r="I24" s="137"/>
    </row>
    <row r="25" spans="1:31">
      <c r="A25" s="30"/>
      <c r="B25" s="33"/>
      <c r="C25" s="33"/>
      <c r="D25" s="33"/>
      <c r="E25" s="33"/>
      <c r="F25" s="138" t="s">
        <v>167</v>
      </c>
      <c r="G25" s="138"/>
      <c r="H25" s="138"/>
      <c r="I25" s="138"/>
    </row>
    <row r="26" spans="1:31">
      <c r="A26" s="30"/>
      <c r="B26" s="32"/>
      <c r="C26" s="32"/>
      <c r="D26" s="32"/>
      <c r="E26" s="32"/>
      <c r="F26" s="138" t="s">
        <v>168</v>
      </c>
      <c r="G26" s="138"/>
      <c r="H26" s="138"/>
      <c r="I26" s="138"/>
    </row>
    <row r="27" spans="1:31">
      <c r="A27" s="30"/>
      <c r="B27" s="32"/>
      <c r="C27" s="32"/>
      <c r="D27" s="32"/>
      <c r="E27" s="32"/>
      <c r="F27" s="32"/>
      <c r="G27" s="30"/>
    </row>
    <row r="28" spans="1:31">
      <c r="A28" s="30"/>
      <c r="B28" s="32"/>
      <c r="C28" s="32"/>
      <c r="D28" s="32"/>
      <c r="E28" s="32"/>
      <c r="F28" s="32"/>
      <c r="G28" s="30"/>
    </row>
    <row r="29" spans="1:31">
      <c r="A29" s="30"/>
      <c r="B29" s="32"/>
      <c r="C29" s="32"/>
      <c r="D29" s="32"/>
      <c r="E29" s="32"/>
      <c r="F29" s="32"/>
      <c r="G29" s="30"/>
    </row>
    <row r="30" spans="1:31">
      <c r="A30" s="30"/>
      <c r="B30" s="32"/>
      <c r="C30" s="32"/>
      <c r="D30" s="32"/>
      <c r="E30" s="32"/>
      <c r="F30" s="32"/>
      <c r="G30" s="30"/>
    </row>
    <row r="31" spans="1:31">
      <c r="A31" s="30"/>
      <c r="B31" s="31"/>
      <c r="C31" s="31"/>
      <c r="D31" s="31"/>
      <c r="E31" s="31"/>
      <c r="F31" s="31"/>
      <c r="G31" s="30"/>
    </row>
    <row r="32" spans="1:31">
      <c r="A32" s="30"/>
      <c r="B32" s="31"/>
      <c r="C32" s="31"/>
      <c r="D32" s="31"/>
      <c r="E32" s="31"/>
      <c r="F32" s="31"/>
      <c r="G32" s="30"/>
    </row>
  </sheetData>
  <mergeCells count="4">
    <mergeCell ref="F24:I24"/>
    <mergeCell ref="F25:I25"/>
    <mergeCell ref="F23:I23"/>
    <mergeCell ref="F26:I26"/>
  </mergeCells>
  <hyperlinks>
    <hyperlink ref="Q2" r:id="rId1" xr:uid="{4B25E45D-033C-4B4A-9BDB-177C0D567154}"/>
    <hyperlink ref="Q3" r:id="rId2" xr:uid="{01DD6DB2-3FBA-4139-AE4E-F77EBFC14152}"/>
    <hyperlink ref="Q4" r:id="rId3" xr:uid="{37C3FFDB-3727-4961-92C2-A521592CD1D2}"/>
    <hyperlink ref="Q5" r:id="rId4" xr:uid="{CA38F44C-CEC7-45CE-8949-989A40C9746D}"/>
    <hyperlink ref="Q6" r:id="rId5" xr:uid="{B41AC39A-B2A1-42EA-9795-E03651A619DB}"/>
    <hyperlink ref="Q7" r:id="rId6" xr:uid="{900647F0-4FCC-4A7B-A369-F79BE2EA3395}"/>
    <hyperlink ref="Q8" r:id="rId7" xr:uid="{AA8AB1CC-1C47-4B9D-843E-56BEE1EA68F9}"/>
    <hyperlink ref="Q9" r:id="rId8" xr:uid="{00A605F1-D79E-4079-9A87-387420031A56}"/>
    <hyperlink ref="Q10" r:id="rId9" xr:uid="{C8FF598B-F5CF-47D9-B1EC-DB0530B3DC5B}"/>
    <hyperlink ref="Q11" r:id="rId10" xr:uid="{2E738D86-3DF8-4EE7-836C-F0792504C29F}"/>
    <hyperlink ref="Q12" r:id="rId11" xr:uid="{CC15E1C8-74B0-4C2E-8B3F-0809226A38CC}"/>
    <hyperlink ref="Q13" r:id="rId12" xr:uid="{9CAA09FA-2149-455C-A574-69FB905679BB}"/>
    <hyperlink ref="Q14" r:id="rId13" xr:uid="{4ED5FE59-ED65-431C-8140-237B62018050}"/>
    <hyperlink ref="Q15" r:id="rId14" xr:uid="{BFADA58D-2128-407D-A477-96A704503A49}"/>
    <hyperlink ref="Q16" r:id="rId15" xr:uid="{7BA65C40-7CC5-44BC-9665-2B2C0DB14D83}"/>
    <hyperlink ref="Q17" r:id="rId16" xr:uid="{8A45CAD4-FFFB-4A88-9761-BB0713DCFEDE}"/>
    <hyperlink ref="Q18" r:id="rId17" xr:uid="{274FA4CC-7F18-4E4E-9CD8-497D659B9DE7}"/>
    <hyperlink ref="Q19" r:id="rId18" xr:uid="{F00D1CAD-4C47-4977-AD50-451354987315}"/>
    <hyperlink ref="Q20" r:id="rId19" xr:uid="{A87428B4-03DA-4F35-A6DE-82732F4FF8A1}"/>
    <hyperlink ref="Q21" r:id="rId20" xr:uid="{F22B80EC-6D9D-4C66-8349-65C97DC691A9}"/>
  </hyperlinks>
  <pageMargins left="0.7" right="0.7" top="0.75" bottom="0.75" header="0.3" footer="0.3"/>
  <tableParts count="1">
    <tablePart r:id="rId2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F713C-ED67-41C9-A37A-C1492151D749}">
  <dimension ref="A1:AE31"/>
  <sheetViews>
    <sheetView topLeftCell="B1" workbookViewId="0">
      <selection activeCell="F32" sqref="F32"/>
    </sheetView>
  </sheetViews>
  <sheetFormatPr defaultRowHeight="15"/>
  <cols>
    <col min="1" max="1" width="12.7109375" bestFit="1" customWidth="1"/>
    <col min="2" max="2" width="17.28515625" customWidth="1"/>
    <col min="3" max="3" width="18.42578125" bestFit="1" customWidth="1"/>
    <col min="4" max="4" width="9.7109375" customWidth="1"/>
    <col min="5" max="5" width="14.42578125" customWidth="1"/>
    <col min="6" max="6" width="16.5703125" customWidth="1"/>
    <col min="7" max="7" width="18.140625" customWidth="1"/>
    <col min="8" max="8" width="16.140625" customWidth="1"/>
    <col min="9" max="9" width="17" customWidth="1"/>
    <col min="10" max="10" width="20" customWidth="1"/>
    <col min="11" max="11" width="13.42578125" customWidth="1"/>
    <col min="12" max="12" width="17.5703125" customWidth="1"/>
    <col min="13" max="13" width="18" bestFit="1" customWidth="1"/>
    <col min="14" max="14" width="15.140625" bestFit="1" customWidth="1"/>
    <col min="15" max="15" width="16.140625" bestFit="1" customWidth="1"/>
    <col min="16" max="16" width="15.7109375" bestFit="1" customWidth="1"/>
    <col min="17" max="17" width="33.28515625" style="7" bestFit="1" customWidth="1"/>
    <col min="18" max="18" width="17.5703125" bestFit="1" customWidth="1"/>
    <col min="19" max="19" width="12.42578125" bestFit="1" customWidth="1"/>
    <col min="20" max="20" width="17.42578125" bestFit="1" customWidth="1"/>
    <col min="21" max="21" width="21.28515625" bestFit="1" customWidth="1"/>
    <col min="22" max="22" width="14.28515625" bestFit="1" customWidth="1"/>
    <col min="23" max="23" width="22.7109375" bestFit="1" customWidth="1"/>
    <col min="24" max="24" width="21.140625" bestFit="1" customWidth="1"/>
    <col min="25" max="25" width="12.140625" customWidth="1"/>
    <col min="26" max="26" width="30.85546875" bestFit="1" customWidth="1"/>
    <col min="27" max="27" width="13.140625" bestFit="1" customWidth="1"/>
    <col min="28" max="28" width="16.42578125" bestFit="1" customWidth="1"/>
    <col min="29" max="29" width="21.140625" bestFit="1" customWidth="1"/>
    <col min="30" max="30" width="13.140625" bestFit="1" customWidth="1"/>
    <col min="31" max="31" width="17.140625" customWidth="1"/>
  </cols>
  <sheetData>
    <row r="1" spans="1:31" s="64" customFormat="1">
      <c r="A1" s="60" t="s">
        <v>0</v>
      </c>
      <c r="B1" s="61" t="s">
        <v>1</v>
      </c>
      <c r="C1" s="61" t="s">
        <v>148</v>
      </c>
      <c r="D1" s="62" t="s">
        <v>149</v>
      </c>
      <c r="E1" s="61" t="s">
        <v>5</v>
      </c>
      <c r="F1" s="61" t="s">
        <v>6</v>
      </c>
      <c r="G1" s="62" t="s">
        <v>7</v>
      </c>
      <c r="H1" s="62" t="s">
        <v>169</v>
      </c>
      <c r="I1" s="62" t="s">
        <v>9</v>
      </c>
      <c r="J1" s="62" t="s">
        <v>10</v>
      </c>
      <c r="K1" s="62" t="s">
        <v>11</v>
      </c>
      <c r="L1" s="61" t="s">
        <v>12</v>
      </c>
      <c r="M1" s="61" t="s">
        <v>13</v>
      </c>
      <c r="N1" s="61" t="s">
        <v>14</v>
      </c>
      <c r="O1" s="61" t="s">
        <v>15</v>
      </c>
      <c r="P1" s="61" t="s">
        <v>16</v>
      </c>
      <c r="Q1" s="61" t="s">
        <v>17</v>
      </c>
      <c r="R1" s="61" t="s">
        <v>18</v>
      </c>
      <c r="S1" s="61" t="s">
        <v>19</v>
      </c>
      <c r="T1" s="61" t="s">
        <v>20</v>
      </c>
      <c r="U1" s="61" t="s">
        <v>21</v>
      </c>
      <c r="V1" s="61" t="s">
        <v>22</v>
      </c>
      <c r="W1" s="61" t="s">
        <v>23</v>
      </c>
      <c r="X1" s="61" t="s">
        <v>24</v>
      </c>
      <c r="Y1" s="61" t="s">
        <v>25</v>
      </c>
      <c r="Z1" s="61" t="s">
        <v>26</v>
      </c>
      <c r="AA1" s="61" t="s">
        <v>153</v>
      </c>
      <c r="AB1" s="61" t="s">
        <v>154</v>
      </c>
      <c r="AC1" s="61" t="s">
        <v>163</v>
      </c>
      <c r="AD1" s="61" t="s">
        <v>164</v>
      </c>
      <c r="AE1" s="63" t="s">
        <v>165</v>
      </c>
    </row>
    <row r="2" spans="1:31">
      <c r="A2" s="20" t="s">
        <v>27</v>
      </c>
      <c r="B2" s="11" t="s">
        <v>170</v>
      </c>
      <c r="C2" s="11" t="s">
        <v>151</v>
      </c>
      <c r="D2" s="11">
        <v>39</v>
      </c>
      <c r="E2" s="12">
        <v>44681</v>
      </c>
      <c r="F2" s="12" t="s">
        <v>32</v>
      </c>
      <c r="G2" s="11">
        <v>5</v>
      </c>
      <c r="H2" s="11">
        <v>5</v>
      </c>
      <c r="I2" s="11" t="e" vm="1">
        <v>#VALUE!</v>
      </c>
      <c r="J2" s="11" t="s">
        <v>33</v>
      </c>
      <c r="K2" s="11" t="s">
        <v>34</v>
      </c>
      <c r="L2" s="11" t="s">
        <v>35</v>
      </c>
      <c r="M2" s="11" t="s">
        <v>36</v>
      </c>
      <c r="N2" s="11" t="s">
        <v>37</v>
      </c>
      <c r="O2" s="12">
        <v>39270</v>
      </c>
      <c r="P2" s="11" t="s">
        <v>38</v>
      </c>
      <c r="Q2" s="25" t="s">
        <v>39</v>
      </c>
      <c r="R2" s="11">
        <v>8976543210</v>
      </c>
      <c r="S2" s="11" t="s">
        <v>40</v>
      </c>
      <c r="T2" s="11" t="s">
        <v>41</v>
      </c>
      <c r="U2" s="11" t="s">
        <v>42</v>
      </c>
      <c r="V2" s="13">
        <v>28000</v>
      </c>
      <c r="W2" s="13">
        <v>2835</v>
      </c>
      <c r="X2" s="13">
        <v>2007</v>
      </c>
      <c r="Y2" s="13">
        <v>2185</v>
      </c>
      <c r="Z2" s="13">
        <v>12287</v>
      </c>
      <c r="AA2" s="14">
        <f>SUM(V2,W2,X2,Y2,Z2)</f>
        <v>47314</v>
      </c>
      <c r="AB2" s="22">
        <f>AA2*12</f>
        <v>567768</v>
      </c>
      <c r="AC2" s="34" t="str">
        <f>IF(Table1346[[#This Row],[Performance_Rating]]&gt;5,"YES","NO")</f>
        <v>NO</v>
      </c>
      <c r="AD2" s="36">
        <f ca="1">YEARFRAC(Table1346[[#This Row],[Joining_Date]],TODAY())</f>
        <v>4.2416666666666663</v>
      </c>
      <c r="AE2" s="11" t="str">
        <f ca="1">IF(Table1346[[#This Row],[Experience]]&gt;3,"ELIGIBLE","NOT ELIGIBLE")</f>
        <v>ELIGIBLE</v>
      </c>
    </row>
    <row r="3" spans="1:31">
      <c r="A3" s="20" t="s">
        <v>43</v>
      </c>
      <c r="B3" s="10" t="s">
        <v>44</v>
      </c>
      <c r="C3" s="11" t="s">
        <v>151</v>
      </c>
      <c r="D3" s="11">
        <v>34</v>
      </c>
      <c r="E3" s="12">
        <v>45403</v>
      </c>
      <c r="F3" s="12" t="s">
        <v>48</v>
      </c>
      <c r="G3" s="11">
        <v>10</v>
      </c>
      <c r="H3" s="11">
        <v>5</v>
      </c>
      <c r="I3" s="11" t="e" vm="2">
        <v>#VALUE!</v>
      </c>
      <c r="J3" s="11" t="s">
        <v>33</v>
      </c>
      <c r="K3" s="11" t="s">
        <v>34</v>
      </c>
      <c r="L3" s="11" t="s">
        <v>49</v>
      </c>
      <c r="M3" s="11" t="s">
        <v>50</v>
      </c>
      <c r="N3" s="11" t="s">
        <v>51</v>
      </c>
      <c r="O3" s="12">
        <v>41114</v>
      </c>
      <c r="P3" s="11" t="s">
        <v>52</v>
      </c>
      <c r="Q3" s="25" t="s">
        <v>53</v>
      </c>
      <c r="R3" s="11">
        <v>9854362109</v>
      </c>
      <c r="S3" s="11" t="s">
        <v>54</v>
      </c>
      <c r="T3" s="11" t="s">
        <v>55</v>
      </c>
      <c r="U3" s="11" t="s">
        <v>56</v>
      </c>
      <c r="V3" s="13">
        <v>33000</v>
      </c>
      <c r="W3" s="13">
        <v>3133</v>
      </c>
      <c r="X3" s="13">
        <v>1870</v>
      </c>
      <c r="Y3" s="13">
        <v>1802</v>
      </c>
      <c r="Z3" s="13">
        <v>9740</v>
      </c>
      <c r="AA3" s="14">
        <f t="shared" ref="AA3:AA21" si="0">SUM(V3,W3,X3,Y3,Z3)</f>
        <v>49545</v>
      </c>
      <c r="AB3" s="22">
        <f t="shared" ref="AB3:AB21" si="1">AA3*12</f>
        <v>594540</v>
      </c>
      <c r="AC3" s="13" t="str">
        <f>IF(Table1346[[#This Row],[Performance_Rating]]&gt;5,"YES","NO")</f>
        <v>YES</v>
      </c>
      <c r="AD3" s="37">
        <f ca="1">YEARFRAC(Table1346[[#This Row],[Joining_Date]],TODAY())</f>
        <v>2.2666666666666666</v>
      </c>
      <c r="AE3" s="11" t="str">
        <f ca="1">IF(Table1346[[#This Row],[Experience]]&gt;3,"ELIGIBLE","NOT ELIGIBLE")</f>
        <v>NOT ELIGIBLE</v>
      </c>
    </row>
    <row r="4" spans="1:31">
      <c r="A4" s="20" t="s">
        <v>57</v>
      </c>
      <c r="B4" s="11" t="s">
        <v>58</v>
      </c>
      <c r="C4" s="11" t="s">
        <v>152</v>
      </c>
      <c r="D4" s="11">
        <v>27</v>
      </c>
      <c r="E4" s="12">
        <v>45595</v>
      </c>
      <c r="F4" s="12" t="s">
        <v>62</v>
      </c>
      <c r="G4" s="11">
        <v>5</v>
      </c>
      <c r="H4" s="11">
        <v>8</v>
      </c>
      <c r="I4" s="11" t="e" vm="1">
        <v>#VALUE!</v>
      </c>
      <c r="J4" s="11" t="s">
        <v>33</v>
      </c>
      <c r="K4" s="11" t="s">
        <v>63</v>
      </c>
      <c r="L4" s="11" t="s">
        <v>64</v>
      </c>
      <c r="M4" s="11" t="s">
        <v>65</v>
      </c>
      <c r="N4" s="11" t="s">
        <v>66</v>
      </c>
      <c r="O4" s="12">
        <v>40810</v>
      </c>
      <c r="P4" s="11" t="s">
        <v>67</v>
      </c>
      <c r="Q4" s="25" t="s">
        <v>68</v>
      </c>
      <c r="R4" s="11">
        <v>9239456120</v>
      </c>
      <c r="S4" s="11" t="s">
        <v>69</v>
      </c>
      <c r="T4" s="11" t="s">
        <v>70</v>
      </c>
      <c r="U4" s="11" t="s">
        <v>42</v>
      </c>
      <c r="V4" s="13">
        <v>38000</v>
      </c>
      <c r="W4" s="13">
        <v>4320</v>
      </c>
      <c r="X4" s="13">
        <v>2147</v>
      </c>
      <c r="Y4" s="13">
        <v>2970</v>
      </c>
      <c r="Z4" s="13">
        <v>11982</v>
      </c>
      <c r="AA4" s="14">
        <f t="shared" si="0"/>
        <v>59419</v>
      </c>
      <c r="AB4" s="22">
        <f>AA4*12</f>
        <v>713028</v>
      </c>
      <c r="AC4" s="13" t="str">
        <f>IF(Table1346[[#This Row],[Performance_Rating]]&gt;5,"YES","NO")</f>
        <v>NO</v>
      </c>
      <c r="AD4" s="37">
        <f ca="1">YEARFRAC(Table1346[[#This Row],[Joining_Date]],TODAY())</f>
        <v>1.7416666666666667</v>
      </c>
      <c r="AE4" s="11" t="str">
        <f ca="1">IF(Table1346[[#This Row],[Experience]]&gt;3,"ELIGIBLE","NOT ELIGIBLE")</f>
        <v>NOT ELIGIBLE</v>
      </c>
    </row>
    <row r="5" spans="1:31">
      <c r="A5" s="20" t="s">
        <v>71</v>
      </c>
      <c r="B5" s="10" t="s">
        <v>72</v>
      </c>
      <c r="C5" s="11" t="s">
        <v>151</v>
      </c>
      <c r="D5" s="11">
        <v>40</v>
      </c>
      <c r="E5" s="12">
        <v>45116</v>
      </c>
      <c r="F5" s="12" t="s">
        <v>76</v>
      </c>
      <c r="G5" s="11">
        <v>3</v>
      </c>
      <c r="H5" s="11">
        <v>5</v>
      </c>
      <c r="I5" s="11" t="e" vm="3">
        <v>#VALUE!</v>
      </c>
      <c r="J5" s="11" t="s">
        <v>33</v>
      </c>
      <c r="K5" s="11" t="s">
        <v>34</v>
      </c>
      <c r="L5" s="11" t="s">
        <v>35</v>
      </c>
      <c r="M5" s="11" t="s">
        <v>36</v>
      </c>
      <c r="N5" s="11" t="s">
        <v>51</v>
      </c>
      <c r="O5" s="12">
        <v>38238</v>
      </c>
      <c r="P5" s="11" t="s">
        <v>77</v>
      </c>
      <c r="Q5" s="25" t="s">
        <v>78</v>
      </c>
      <c r="R5" s="11">
        <v>8142736904</v>
      </c>
      <c r="S5" s="11" t="s">
        <v>40</v>
      </c>
      <c r="T5" s="11" t="s">
        <v>41</v>
      </c>
      <c r="U5" s="11" t="s">
        <v>56</v>
      </c>
      <c r="V5" s="13">
        <v>30000</v>
      </c>
      <c r="W5" s="13">
        <v>2656</v>
      </c>
      <c r="X5" s="13">
        <v>1794</v>
      </c>
      <c r="Y5" s="13">
        <v>1509</v>
      </c>
      <c r="Z5" s="13">
        <v>13491</v>
      </c>
      <c r="AA5" s="14">
        <f t="shared" si="0"/>
        <v>49450</v>
      </c>
      <c r="AB5" s="22">
        <f t="shared" si="1"/>
        <v>593400</v>
      </c>
      <c r="AC5" s="13" t="str">
        <f>IF(Table1346[[#This Row],[Performance_Rating]]&gt;5,"YES","NO")</f>
        <v>NO</v>
      </c>
      <c r="AD5" s="37">
        <f ca="1">YEARFRAC(Table1346[[#This Row],[Joining_Date]],TODAY())</f>
        <v>3.05</v>
      </c>
      <c r="AE5" s="11" t="str">
        <f ca="1">IF(Table1346[[#This Row],[Experience]]&gt;3,"ELIGIBLE","NOT ELIGIBLE")</f>
        <v>ELIGIBLE</v>
      </c>
    </row>
    <row r="6" spans="1:31">
      <c r="A6" s="20" t="s">
        <v>79</v>
      </c>
      <c r="B6" s="10" t="s">
        <v>80</v>
      </c>
      <c r="C6" s="11" t="s">
        <v>152</v>
      </c>
      <c r="D6" s="11">
        <v>22</v>
      </c>
      <c r="E6" s="12">
        <v>45715</v>
      </c>
      <c r="F6" s="11" t="s">
        <v>84</v>
      </c>
      <c r="G6" s="11">
        <v>7</v>
      </c>
      <c r="H6" s="11">
        <v>7</v>
      </c>
      <c r="I6" s="11" t="e" vm="4">
        <v>#VALUE!</v>
      </c>
      <c r="J6" s="11" t="s">
        <v>33</v>
      </c>
      <c r="K6" s="11" t="s">
        <v>63</v>
      </c>
      <c r="L6" s="11" t="s">
        <v>49</v>
      </c>
      <c r="M6" s="11" t="s">
        <v>50</v>
      </c>
      <c r="N6" s="11" t="s">
        <v>37</v>
      </c>
      <c r="O6" s="12">
        <v>43361</v>
      </c>
      <c r="P6" s="11" t="s">
        <v>38</v>
      </c>
      <c r="Q6" s="25" t="s">
        <v>85</v>
      </c>
      <c r="R6" s="11">
        <v>8956633103</v>
      </c>
      <c r="S6" s="11" t="s">
        <v>54</v>
      </c>
      <c r="T6" s="11" t="s">
        <v>55</v>
      </c>
      <c r="U6" s="11" t="s">
        <v>42</v>
      </c>
      <c r="V6" s="13">
        <v>52000</v>
      </c>
      <c r="W6" s="13">
        <v>3674</v>
      </c>
      <c r="X6" s="13">
        <v>1800</v>
      </c>
      <c r="Y6" s="13">
        <v>1075</v>
      </c>
      <c r="Z6" s="13">
        <v>11935</v>
      </c>
      <c r="AA6" s="14">
        <f t="shared" si="0"/>
        <v>70484</v>
      </c>
      <c r="AB6" s="22">
        <f t="shared" si="1"/>
        <v>845808</v>
      </c>
      <c r="AC6" s="13" t="str">
        <f>IF(Table1346[[#This Row],[Performance_Rating]]&gt;5,"YES","NO")</f>
        <v>YES</v>
      </c>
      <c r="AD6" s="37">
        <f ca="1">YEARFRAC(Table1346[[#This Row],[Joining_Date]],TODAY())</f>
        <v>1.4166666666666667</v>
      </c>
      <c r="AE6" s="11" t="str">
        <f ca="1">IF(Table1346[[#This Row],[Experience]]&gt;3,"ELIGIBLE","NOT ELIGIBLE")</f>
        <v>NOT ELIGIBLE</v>
      </c>
    </row>
    <row r="7" spans="1:31">
      <c r="A7" s="20" t="s">
        <v>86</v>
      </c>
      <c r="B7" s="10" t="s">
        <v>87</v>
      </c>
      <c r="C7" s="11" t="s">
        <v>152</v>
      </c>
      <c r="D7" s="11">
        <v>23</v>
      </c>
      <c r="E7" s="12">
        <v>46156</v>
      </c>
      <c r="F7" s="12" t="s">
        <v>32</v>
      </c>
      <c r="G7" s="11">
        <v>9</v>
      </c>
      <c r="H7" s="11">
        <v>8</v>
      </c>
      <c r="I7" s="11" t="e" vm="5">
        <v>#VALUE!</v>
      </c>
      <c r="J7" s="11" t="s">
        <v>33</v>
      </c>
      <c r="K7" s="11" t="s">
        <v>34</v>
      </c>
      <c r="L7" s="11" t="s">
        <v>64</v>
      </c>
      <c r="M7" s="11" t="s">
        <v>65</v>
      </c>
      <c r="N7" s="11" t="s">
        <v>66</v>
      </c>
      <c r="O7" s="12">
        <v>39843</v>
      </c>
      <c r="P7" s="11" t="s">
        <v>52</v>
      </c>
      <c r="Q7" s="25" t="s">
        <v>91</v>
      </c>
      <c r="R7" s="11">
        <v>9175514319</v>
      </c>
      <c r="S7" s="11" t="s">
        <v>69</v>
      </c>
      <c r="T7" s="11" t="s">
        <v>70</v>
      </c>
      <c r="U7" s="11" t="s">
        <v>42</v>
      </c>
      <c r="V7" s="13">
        <v>45000</v>
      </c>
      <c r="W7" s="13">
        <v>5870</v>
      </c>
      <c r="X7" s="13">
        <v>1875</v>
      </c>
      <c r="Y7" s="13">
        <v>1113</v>
      </c>
      <c r="Z7" s="13">
        <v>11161</v>
      </c>
      <c r="AA7" s="14">
        <f t="shared" si="0"/>
        <v>65019</v>
      </c>
      <c r="AB7" s="22">
        <f t="shared" si="1"/>
        <v>780228</v>
      </c>
      <c r="AC7" s="13" t="str">
        <f>IF(Table1346[[#This Row],[Performance_Rating]]&gt;5,"YES","NO")</f>
        <v>YES</v>
      </c>
      <c r="AD7" s="37">
        <f ca="1">YEARFRAC(Table1346[[#This Row],[Joining_Date]],TODAY())</f>
        <v>0.20277777777777778</v>
      </c>
      <c r="AE7" s="11" t="str">
        <f ca="1">IF(Table1346[[#This Row],[Experience]]&gt;3,"ELIGIBLE","NOT ELIGIBLE")</f>
        <v>NOT ELIGIBLE</v>
      </c>
    </row>
    <row r="8" spans="1:31">
      <c r="A8" s="20" t="s">
        <v>92</v>
      </c>
      <c r="B8" s="11" t="s">
        <v>93</v>
      </c>
      <c r="C8" s="11" t="s">
        <v>152</v>
      </c>
      <c r="D8" s="11">
        <v>22</v>
      </c>
      <c r="E8" s="12">
        <v>44363</v>
      </c>
      <c r="F8" s="12" t="s">
        <v>48</v>
      </c>
      <c r="G8" s="11">
        <v>8</v>
      </c>
      <c r="H8" s="11">
        <v>7</v>
      </c>
      <c r="I8" s="11" t="e" vm="6">
        <v>#VALUE!</v>
      </c>
      <c r="J8" s="11" t="s">
        <v>33</v>
      </c>
      <c r="K8" s="11" t="s">
        <v>63</v>
      </c>
      <c r="L8" s="11" t="s">
        <v>49</v>
      </c>
      <c r="M8" s="11" t="s">
        <v>65</v>
      </c>
      <c r="N8" s="11" t="s">
        <v>37</v>
      </c>
      <c r="O8" s="12">
        <v>40675</v>
      </c>
      <c r="P8" s="11" t="s">
        <v>67</v>
      </c>
      <c r="Q8" s="25" t="s">
        <v>95</v>
      </c>
      <c r="R8" s="11">
        <v>9320792333</v>
      </c>
      <c r="S8" s="11" t="s">
        <v>40</v>
      </c>
      <c r="T8" s="11" t="s">
        <v>41</v>
      </c>
      <c r="U8" s="11" t="s">
        <v>56</v>
      </c>
      <c r="V8" s="13">
        <v>25000</v>
      </c>
      <c r="W8" s="13">
        <v>4236</v>
      </c>
      <c r="X8" s="13">
        <v>1479</v>
      </c>
      <c r="Y8" s="13">
        <v>1260</v>
      </c>
      <c r="Z8" s="13">
        <v>15956</v>
      </c>
      <c r="AA8" s="14">
        <f t="shared" si="0"/>
        <v>47931</v>
      </c>
      <c r="AB8" s="22">
        <f t="shared" si="1"/>
        <v>575172</v>
      </c>
      <c r="AC8" s="13" t="str">
        <f>IF(Table1346[[#This Row],[Performance_Rating]]&gt;5,"YES","NO")</f>
        <v>YES</v>
      </c>
      <c r="AD8" s="37">
        <f ca="1">YEARFRAC(Table1346[[#This Row],[Joining_Date]],TODAY())</f>
        <v>5.1138888888888889</v>
      </c>
      <c r="AE8" s="11" t="str">
        <f ca="1">IF(Table1346[[#This Row],[Experience]]&gt;3,"ELIGIBLE","NOT ELIGIBLE")</f>
        <v>ELIGIBLE</v>
      </c>
    </row>
    <row r="9" spans="1:31">
      <c r="A9" s="20" t="s">
        <v>96</v>
      </c>
      <c r="B9" s="10" t="s">
        <v>97</v>
      </c>
      <c r="C9" s="11" t="s">
        <v>151</v>
      </c>
      <c r="D9" s="11">
        <v>40</v>
      </c>
      <c r="E9" s="12">
        <v>45727</v>
      </c>
      <c r="F9" s="12" t="s">
        <v>62</v>
      </c>
      <c r="G9" s="11">
        <v>2</v>
      </c>
      <c r="H9" s="11">
        <v>7</v>
      </c>
      <c r="I9" s="11" t="e" vm="7">
        <v>#VALUE!</v>
      </c>
      <c r="J9" s="11" t="s">
        <v>33</v>
      </c>
      <c r="K9" s="11" t="s">
        <v>63</v>
      </c>
      <c r="L9" s="11" t="s">
        <v>64</v>
      </c>
      <c r="M9" s="11" t="s">
        <v>36</v>
      </c>
      <c r="N9" s="11" t="s">
        <v>51</v>
      </c>
      <c r="O9" s="12">
        <v>41180</v>
      </c>
      <c r="P9" s="11" t="s">
        <v>77</v>
      </c>
      <c r="Q9" s="25" t="s">
        <v>99</v>
      </c>
      <c r="R9" s="11">
        <v>8108881430</v>
      </c>
      <c r="S9" s="11" t="s">
        <v>54</v>
      </c>
      <c r="T9" s="11" t="s">
        <v>55</v>
      </c>
      <c r="U9" s="11" t="s">
        <v>42</v>
      </c>
      <c r="V9" s="13">
        <v>48000</v>
      </c>
      <c r="W9" s="13">
        <v>4857</v>
      </c>
      <c r="X9" s="13">
        <v>2460</v>
      </c>
      <c r="Y9" s="13">
        <v>2814</v>
      </c>
      <c r="Z9" s="13">
        <v>10795</v>
      </c>
      <c r="AA9" s="14">
        <f t="shared" si="0"/>
        <v>68926</v>
      </c>
      <c r="AB9" s="22">
        <f t="shared" si="1"/>
        <v>827112</v>
      </c>
      <c r="AC9" s="13" t="str">
        <f>IF(Table1346[[#This Row],[Performance_Rating]]&gt;5,"YES","NO")</f>
        <v>NO</v>
      </c>
      <c r="AD9" s="37">
        <f ca="1">YEARFRAC(Table1346[[#This Row],[Joining_Date]],TODAY())</f>
        <v>1.3777777777777778</v>
      </c>
      <c r="AE9" s="11" t="str">
        <f ca="1">IF(Table1346[[#This Row],[Experience]]&gt;3,"ELIGIBLE","NOT ELIGIBLE")</f>
        <v>NOT ELIGIBLE</v>
      </c>
    </row>
    <row r="10" spans="1:31">
      <c r="A10" s="20" t="s">
        <v>100</v>
      </c>
      <c r="B10" s="10" t="s">
        <v>101</v>
      </c>
      <c r="C10" s="11" t="s">
        <v>152</v>
      </c>
      <c r="D10" s="11">
        <v>27</v>
      </c>
      <c r="E10" s="12">
        <v>44688</v>
      </c>
      <c r="F10" s="12" t="s">
        <v>76</v>
      </c>
      <c r="G10" s="11">
        <v>9</v>
      </c>
      <c r="H10" s="11">
        <v>5</v>
      </c>
      <c r="I10" s="11" t="e" vm="8">
        <v>#VALUE!</v>
      </c>
      <c r="J10" s="11" t="s">
        <v>33</v>
      </c>
      <c r="K10" s="11" t="s">
        <v>34</v>
      </c>
      <c r="L10" s="11" t="s">
        <v>35</v>
      </c>
      <c r="M10" s="11" t="s">
        <v>50</v>
      </c>
      <c r="N10" s="11" t="s">
        <v>66</v>
      </c>
      <c r="O10" s="12">
        <v>41882</v>
      </c>
      <c r="P10" s="11" t="s">
        <v>38</v>
      </c>
      <c r="Q10" s="25" t="s">
        <v>102</v>
      </c>
      <c r="R10" s="11">
        <v>9623120150</v>
      </c>
      <c r="S10" s="11" t="s">
        <v>69</v>
      </c>
      <c r="T10" s="11" t="s">
        <v>70</v>
      </c>
      <c r="U10" s="11" t="s">
        <v>56</v>
      </c>
      <c r="V10" s="13">
        <v>31000</v>
      </c>
      <c r="W10" s="13">
        <v>4746</v>
      </c>
      <c r="X10" s="13">
        <v>2490</v>
      </c>
      <c r="Y10" s="13">
        <v>1122</v>
      </c>
      <c r="Z10" s="13">
        <v>9064</v>
      </c>
      <c r="AA10" s="14">
        <f t="shared" si="0"/>
        <v>48422</v>
      </c>
      <c r="AB10" s="22">
        <f t="shared" si="1"/>
        <v>581064</v>
      </c>
      <c r="AC10" s="13" t="str">
        <f>IF(Table1346[[#This Row],[Performance_Rating]]&gt;5,"YES","NO")</f>
        <v>YES</v>
      </c>
      <c r="AD10" s="37">
        <f ca="1">YEARFRAC(Table1346[[#This Row],[Joining_Date]],TODAY())</f>
        <v>4.2222222222222223</v>
      </c>
      <c r="AE10" s="11" t="str">
        <f ca="1">IF(Table1346[[#This Row],[Experience]]&gt;3,"ELIGIBLE","NOT ELIGIBLE")</f>
        <v>ELIGIBLE</v>
      </c>
    </row>
    <row r="11" spans="1:31">
      <c r="A11" s="20" t="s">
        <v>103</v>
      </c>
      <c r="B11" s="10" t="s">
        <v>104</v>
      </c>
      <c r="C11" s="11" t="s">
        <v>151</v>
      </c>
      <c r="D11" s="11">
        <v>39</v>
      </c>
      <c r="E11" s="12">
        <v>45947</v>
      </c>
      <c r="F11" s="11" t="s">
        <v>84</v>
      </c>
      <c r="G11" s="11">
        <v>10</v>
      </c>
      <c r="H11" s="11">
        <v>8</v>
      </c>
      <c r="I11" s="11" t="e" vm="9">
        <v>#VALUE!</v>
      </c>
      <c r="J11" s="11" t="s">
        <v>33</v>
      </c>
      <c r="K11" s="11" t="s">
        <v>63</v>
      </c>
      <c r="L11" s="11" t="s">
        <v>49</v>
      </c>
      <c r="M11" s="11" t="s">
        <v>65</v>
      </c>
      <c r="N11" s="11" t="s">
        <v>51</v>
      </c>
      <c r="O11" s="12">
        <v>39461</v>
      </c>
      <c r="P11" s="11" t="s">
        <v>77</v>
      </c>
      <c r="Q11" s="25" t="s">
        <v>105</v>
      </c>
      <c r="R11" s="11">
        <v>9832564390</v>
      </c>
      <c r="S11" s="11" t="s">
        <v>40</v>
      </c>
      <c r="T11" s="11" t="s">
        <v>41</v>
      </c>
      <c r="U11" s="11" t="s">
        <v>42</v>
      </c>
      <c r="V11" s="13">
        <v>29000</v>
      </c>
      <c r="W11" s="13">
        <v>4525</v>
      </c>
      <c r="X11" s="13">
        <v>2087</v>
      </c>
      <c r="Y11" s="13">
        <v>2358</v>
      </c>
      <c r="Z11" s="13">
        <v>15172</v>
      </c>
      <c r="AA11" s="14">
        <f t="shared" si="0"/>
        <v>53142</v>
      </c>
      <c r="AB11" s="22">
        <f t="shared" si="1"/>
        <v>637704</v>
      </c>
      <c r="AC11" s="13" t="str">
        <f>IF(Table1346[[#This Row],[Performance_Rating]]&gt;5,"YES","NO")</f>
        <v>YES</v>
      </c>
      <c r="AD11" s="37">
        <f ca="1">YEARFRAC(Table1346[[#This Row],[Joining_Date]],TODAY())</f>
        <v>0.77777777777777779</v>
      </c>
      <c r="AE11" s="11" t="str">
        <f ca="1">IF(Table1346[[#This Row],[Experience]]&gt;3,"ELIGIBLE","NOT ELIGIBLE")</f>
        <v>NOT ELIGIBLE</v>
      </c>
    </row>
    <row r="12" spans="1:31">
      <c r="A12" s="20" t="s">
        <v>106</v>
      </c>
      <c r="B12" s="10" t="s">
        <v>107</v>
      </c>
      <c r="C12" s="11" t="s">
        <v>152</v>
      </c>
      <c r="D12" s="11">
        <v>45</v>
      </c>
      <c r="E12" s="12">
        <v>44524</v>
      </c>
      <c r="F12" s="12" t="s">
        <v>32</v>
      </c>
      <c r="G12" s="11">
        <v>3</v>
      </c>
      <c r="H12" s="11">
        <v>8</v>
      </c>
      <c r="I12" s="11" t="e" vm="10">
        <v>#VALUE!</v>
      </c>
      <c r="J12" s="11" t="s">
        <v>33</v>
      </c>
      <c r="K12" s="11" t="s">
        <v>34</v>
      </c>
      <c r="L12" s="11" t="s">
        <v>64</v>
      </c>
      <c r="M12" s="11" t="s">
        <v>65</v>
      </c>
      <c r="N12" s="11" t="s">
        <v>51</v>
      </c>
      <c r="O12" s="12">
        <v>40105</v>
      </c>
      <c r="P12" s="11" t="s">
        <v>38</v>
      </c>
      <c r="Q12" s="25" t="s">
        <v>109</v>
      </c>
      <c r="R12" s="11">
        <v>8765234120</v>
      </c>
      <c r="S12" s="11" t="s">
        <v>54</v>
      </c>
      <c r="T12" s="11" t="s">
        <v>55</v>
      </c>
      <c r="U12" s="11" t="s">
        <v>56</v>
      </c>
      <c r="V12" s="13">
        <v>55000</v>
      </c>
      <c r="W12" s="13">
        <v>5399</v>
      </c>
      <c r="X12" s="13">
        <v>2006</v>
      </c>
      <c r="Y12" s="13">
        <v>1984</v>
      </c>
      <c r="Z12" s="13">
        <v>15278</v>
      </c>
      <c r="AA12" s="14">
        <f t="shared" si="0"/>
        <v>79667</v>
      </c>
      <c r="AB12" s="22">
        <f t="shared" si="1"/>
        <v>956004</v>
      </c>
      <c r="AC12" s="13" t="str">
        <f>IF(Table1346[[#This Row],[Performance_Rating]]&gt;5,"YES","NO")</f>
        <v>NO</v>
      </c>
      <c r="AD12" s="37">
        <f ca="1">YEARFRAC(Table1346[[#This Row],[Joining_Date]],TODAY())</f>
        <v>4.6749999999999998</v>
      </c>
      <c r="AE12" s="11" t="str">
        <f ca="1">IF(Table1346[[#This Row],[Experience]]&gt;3,"ELIGIBLE","NOT ELIGIBLE")</f>
        <v>ELIGIBLE</v>
      </c>
    </row>
    <row r="13" spans="1:31">
      <c r="A13" s="20" t="s">
        <v>110</v>
      </c>
      <c r="B13" s="10" t="s">
        <v>111</v>
      </c>
      <c r="C13" s="11" t="s">
        <v>151</v>
      </c>
      <c r="D13" s="11">
        <v>31</v>
      </c>
      <c r="E13" s="12">
        <v>45116</v>
      </c>
      <c r="F13" s="12" t="s">
        <v>48</v>
      </c>
      <c r="G13" s="11">
        <v>5</v>
      </c>
      <c r="H13" s="11">
        <v>7</v>
      </c>
      <c r="I13" s="11" t="e" vm="11">
        <v>#VALUE!</v>
      </c>
      <c r="J13" s="11" t="s">
        <v>33</v>
      </c>
      <c r="K13" s="11" t="s">
        <v>34</v>
      </c>
      <c r="L13" s="11" t="s">
        <v>35</v>
      </c>
      <c r="M13" s="11" t="s">
        <v>36</v>
      </c>
      <c r="N13" s="11" t="s">
        <v>66</v>
      </c>
      <c r="O13" s="12">
        <v>41235</v>
      </c>
      <c r="P13" s="11" t="s">
        <v>52</v>
      </c>
      <c r="Q13" s="25" t="s">
        <v>114</v>
      </c>
      <c r="R13" s="11">
        <v>9808602317</v>
      </c>
      <c r="S13" s="11" t="s">
        <v>69</v>
      </c>
      <c r="T13" s="11" t="s">
        <v>70</v>
      </c>
      <c r="U13" s="11" t="s">
        <v>42</v>
      </c>
      <c r="V13" s="13">
        <v>42000</v>
      </c>
      <c r="W13" s="13">
        <v>5836</v>
      </c>
      <c r="X13" s="13">
        <v>2233</v>
      </c>
      <c r="Y13" s="13">
        <v>1115</v>
      </c>
      <c r="Z13" s="13">
        <v>15838</v>
      </c>
      <c r="AA13" s="14">
        <f t="shared" si="0"/>
        <v>67022</v>
      </c>
      <c r="AB13" s="22">
        <f t="shared" si="1"/>
        <v>804264</v>
      </c>
      <c r="AC13" s="13" t="str">
        <f>IF(Table1346[[#This Row],[Performance_Rating]]&gt;5,"YES","NO")</f>
        <v>NO</v>
      </c>
      <c r="AD13" s="37">
        <f ca="1">YEARFRAC(Table1346[[#This Row],[Joining_Date]],TODAY())</f>
        <v>3.05</v>
      </c>
      <c r="AE13" s="11" t="str">
        <f ca="1">IF(Table1346[[#This Row],[Experience]]&gt;3,"ELIGIBLE","NOT ELIGIBLE")</f>
        <v>ELIGIBLE</v>
      </c>
    </row>
    <row r="14" spans="1:31">
      <c r="A14" s="20" t="s">
        <v>115</v>
      </c>
      <c r="B14" s="11" t="s">
        <v>116</v>
      </c>
      <c r="C14" s="11" t="s">
        <v>152</v>
      </c>
      <c r="D14" s="11">
        <v>34</v>
      </c>
      <c r="E14" s="12">
        <v>45495</v>
      </c>
      <c r="F14" s="12" t="s">
        <v>62</v>
      </c>
      <c r="G14" s="11">
        <v>3</v>
      </c>
      <c r="H14" s="11">
        <v>4</v>
      </c>
      <c r="I14" s="11" t="e" vm="12">
        <v>#VALUE!</v>
      </c>
      <c r="J14" s="11" t="s">
        <v>33</v>
      </c>
      <c r="K14" s="11" t="s">
        <v>63</v>
      </c>
      <c r="L14" s="11" t="s">
        <v>49</v>
      </c>
      <c r="M14" s="11" t="s">
        <v>36</v>
      </c>
      <c r="N14" s="11" t="s">
        <v>37</v>
      </c>
      <c r="O14" s="12">
        <v>42420</v>
      </c>
      <c r="P14" s="11" t="s">
        <v>67</v>
      </c>
      <c r="Q14" s="25" t="s">
        <v>118</v>
      </c>
      <c r="R14" s="11">
        <v>9010302040</v>
      </c>
      <c r="S14" s="11" t="s">
        <v>40</v>
      </c>
      <c r="T14" s="11" t="s">
        <v>41</v>
      </c>
      <c r="U14" s="11" t="s">
        <v>56</v>
      </c>
      <c r="V14" s="13">
        <v>37000</v>
      </c>
      <c r="W14" s="13">
        <v>3391</v>
      </c>
      <c r="X14" s="13">
        <v>2385</v>
      </c>
      <c r="Y14" s="13">
        <v>2371</v>
      </c>
      <c r="Z14" s="13">
        <v>10211</v>
      </c>
      <c r="AA14" s="14">
        <f t="shared" si="0"/>
        <v>55358</v>
      </c>
      <c r="AB14" s="22">
        <f t="shared" si="1"/>
        <v>664296</v>
      </c>
      <c r="AC14" s="13" t="str">
        <f>IF(Table1346[[#This Row],[Performance_Rating]]&gt;5,"YES","NO")</f>
        <v>NO</v>
      </c>
      <c r="AD14" s="37">
        <f ca="1">YEARFRAC(Table1346[[#This Row],[Joining_Date]],TODAY())</f>
        <v>2.0138888888888888</v>
      </c>
      <c r="AE14" s="11" t="str">
        <f ca="1">IF(Table1346[[#This Row],[Experience]]&gt;3,"ELIGIBLE","NOT ELIGIBLE")</f>
        <v>NOT ELIGIBLE</v>
      </c>
    </row>
    <row r="15" spans="1:31">
      <c r="A15" s="20" t="s">
        <v>119</v>
      </c>
      <c r="B15" s="10" t="s">
        <v>120</v>
      </c>
      <c r="C15" s="11" t="s">
        <v>151</v>
      </c>
      <c r="D15" s="11">
        <v>21</v>
      </c>
      <c r="E15" s="12">
        <v>44433</v>
      </c>
      <c r="F15" s="12" t="s">
        <v>76</v>
      </c>
      <c r="G15" s="11">
        <v>7</v>
      </c>
      <c r="H15" s="11">
        <v>6</v>
      </c>
      <c r="I15" s="11" t="e" vm="13">
        <v>#VALUE!</v>
      </c>
      <c r="J15" s="11" t="s">
        <v>33</v>
      </c>
      <c r="K15" s="11" t="s">
        <v>34</v>
      </c>
      <c r="L15" s="11" t="s">
        <v>64</v>
      </c>
      <c r="M15" s="11" t="s">
        <v>50</v>
      </c>
      <c r="N15" s="11" t="s">
        <v>66</v>
      </c>
      <c r="O15" s="12">
        <v>43340</v>
      </c>
      <c r="P15" s="11" t="s">
        <v>77</v>
      </c>
      <c r="Q15" s="25" t="s">
        <v>123</v>
      </c>
      <c r="R15" s="11">
        <v>9854320286</v>
      </c>
      <c r="S15" s="11" t="s">
        <v>54</v>
      </c>
      <c r="T15" s="11" t="s">
        <v>55</v>
      </c>
      <c r="U15" s="11" t="s">
        <v>42</v>
      </c>
      <c r="V15" s="13">
        <v>40000</v>
      </c>
      <c r="W15" s="13">
        <v>2322</v>
      </c>
      <c r="X15" s="13">
        <v>2013</v>
      </c>
      <c r="Y15" s="13">
        <v>1548</v>
      </c>
      <c r="Z15" s="13">
        <v>11267</v>
      </c>
      <c r="AA15" s="14">
        <f t="shared" si="0"/>
        <v>57150</v>
      </c>
      <c r="AB15" s="22">
        <f t="shared" si="1"/>
        <v>685800</v>
      </c>
      <c r="AC15" s="13" t="str">
        <f>IF(Table1346[[#This Row],[Performance_Rating]]&gt;5,"YES","NO")</f>
        <v>YES</v>
      </c>
      <c r="AD15" s="37">
        <f ca="1">YEARFRAC(Table1346[[#This Row],[Joining_Date]],TODAY())</f>
        <v>4.9222222222222225</v>
      </c>
      <c r="AE15" s="11" t="str">
        <f ca="1">IF(Table1346[[#This Row],[Experience]]&gt;3,"ELIGIBLE","NOT ELIGIBLE")</f>
        <v>ELIGIBLE</v>
      </c>
    </row>
    <row r="16" spans="1:31">
      <c r="A16" s="20" t="s">
        <v>124</v>
      </c>
      <c r="B16" s="10" t="s">
        <v>125</v>
      </c>
      <c r="C16" s="11" t="s">
        <v>152</v>
      </c>
      <c r="D16" s="11">
        <v>24</v>
      </c>
      <c r="E16" s="12">
        <v>45988</v>
      </c>
      <c r="F16" s="11" t="s">
        <v>84</v>
      </c>
      <c r="G16" s="11">
        <v>5</v>
      </c>
      <c r="H16" s="11">
        <v>6</v>
      </c>
      <c r="I16" s="11" t="e" vm="14">
        <v>#VALUE!</v>
      </c>
      <c r="J16" s="11" t="s">
        <v>33</v>
      </c>
      <c r="K16" s="11" t="s">
        <v>63</v>
      </c>
      <c r="L16" s="11" t="s">
        <v>35</v>
      </c>
      <c r="M16" s="11" t="s">
        <v>65</v>
      </c>
      <c r="N16" s="11" t="s">
        <v>66</v>
      </c>
      <c r="O16" s="12">
        <v>40643</v>
      </c>
      <c r="P16" s="11" t="s">
        <v>38</v>
      </c>
      <c r="Q16" s="25" t="s">
        <v>128</v>
      </c>
      <c r="R16" s="11">
        <v>9027202587</v>
      </c>
      <c r="S16" s="11" t="s">
        <v>69</v>
      </c>
      <c r="T16" s="11" t="s">
        <v>70</v>
      </c>
      <c r="U16" s="11" t="s">
        <v>56</v>
      </c>
      <c r="V16" s="13">
        <v>38000</v>
      </c>
      <c r="W16" s="13">
        <v>4512</v>
      </c>
      <c r="X16" s="13">
        <v>1660</v>
      </c>
      <c r="Y16" s="13">
        <v>2582</v>
      </c>
      <c r="Z16" s="13">
        <v>13514</v>
      </c>
      <c r="AA16" s="14">
        <f t="shared" si="0"/>
        <v>60268</v>
      </c>
      <c r="AB16" s="22">
        <f t="shared" si="1"/>
        <v>723216</v>
      </c>
      <c r="AC16" s="13" t="str">
        <f>IF(Table1346[[#This Row],[Performance_Rating]]&gt;5,"YES","NO")</f>
        <v>NO</v>
      </c>
      <c r="AD16" s="37">
        <f ca="1">YEARFRAC(Table1346[[#This Row],[Joining_Date]],TODAY())</f>
        <v>0.66666666666666663</v>
      </c>
      <c r="AE16" s="11" t="str">
        <f ca="1">IF(Table1346[[#This Row],[Experience]]&gt;3,"ELIGIBLE","NOT ELIGIBLE")</f>
        <v>NOT ELIGIBLE</v>
      </c>
    </row>
    <row r="17" spans="1:31">
      <c r="A17" s="20" t="s">
        <v>129</v>
      </c>
      <c r="B17" s="10" t="s">
        <v>130</v>
      </c>
      <c r="C17" s="11" t="s">
        <v>152</v>
      </c>
      <c r="D17" s="11">
        <v>32</v>
      </c>
      <c r="E17" s="12">
        <v>44273</v>
      </c>
      <c r="F17" s="12" t="s">
        <v>32</v>
      </c>
      <c r="G17" s="11">
        <v>5</v>
      </c>
      <c r="H17" s="11">
        <v>7</v>
      </c>
      <c r="I17" s="11" t="e" vm="11">
        <v>#VALUE!</v>
      </c>
      <c r="J17" s="11" t="s">
        <v>33</v>
      </c>
      <c r="K17" s="11" t="s">
        <v>34</v>
      </c>
      <c r="L17" s="11" t="s">
        <v>49</v>
      </c>
      <c r="M17" s="11" t="s">
        <v>65</v>
      </c>
      <c r="N17" s="11" t="s">
        <v>51</v>
      </c>
      <c r="O17" s="12">
        <v>41277</v>
      </c>
      <c r="P17" s="11" t="s">
        <v>52</v>
      </c>
      <c r="Q17" s="25" t="s">
        <v>132</v>
      </c>
      <c r="R17" s="11">
        <v>8785818089</v>
      </c>
      <c r="S17" s="11" t="s">
        <v>40</v>
      </c>
      <c r="T17" s="11" t="s">
        <v>41</v>
      </c>
      <c r="U17" s="11" t="s">
        <v>42</v>
      </c>
      <c r="V17" s="13">
        <v>34000</v>
      </c>
      <c r="W17" s="13">
        <v>3878</v>
      </c>
      <c r="X17" s="13">
        <v>1816</v>
      </c>
      <c r="Y17" s="13">
        <v>2189</v>
      </c>
      <c r="Z17" s="13">
        <v>14132</v>
      </c>
      <c r="AA17" s="14">
        <f t="shared" si="0"/>
        <v>56015</v>
      </c>
      <c r="AB17" s="22">
        <f t="shared" si="1"/>
        <v>672180</v>
      </c>
      <c r="AC17" s="13" t="str">
        <f>IF(Table1346[[#This Row],[Performance_Rating]]&gt;5,"YES","NO")</f>
        <v>NO</v>
      </c>
      <c r="AD17" s="37">
        <f ca="1">YEARFRAC(Table1346[[#This Row],[Joining_Date]],TODAY())</f>
        <v>5.3583333333333334</v>
      </c>
      <c r="AE17" s="11" t="str">
        <f ca="1">IF(Table1346[[#This Row],[Experience]]&gt;3,"ELIGIBLE","NOT ELIGIBLE")</f>
        <v>ELIGIBLE</v>
      </c>
    </row>
    <row r="18" spans="1:31">
      <c r="A18" s="20" t="s">
        <v>133</v>
      </c>
      <c r="B18" s="11" t="s">
        <v>134</v>
      </c>
      <c r="C18" s="11" t="s">
        <v>151</v>
      </c>
      <c r="D18" s="11">
        <v>26</v>
      </c>
      <c r="E18" s="12">
        <v>45675</v>
      </c>
      <c r="F18" s="12" t="s">
        <v>48</v>
      </c>
      <c r="G18" s="11">
        <v>2</v>
      </c>
      <c r="H18" s="11">
        <v>8</v>
      </c>
      <c r="I18" s="11" t="e" vm="12">
        <v>#VALUE!</v>
      </c>
      <c r="J18" s="11" t="s">
        <v>33</v>
      </c>
      <c r="K18" s="11" t="s">
        <v>34</v>
      </c>
      <c r="L18" s="11" t="s">
        <v>49</v>
      </c>
      <c r="M18" s="11" t="s">
        <v>36</v>
      </c>
      <c r="N18" s="11" t="s">
        <v>37</v>
      </c>
      <c r="O18" s="12">
        <v>38276</v>
      </c>
      <c r="P18" s="11" t="s">
        <v>67</v>
      </c>
      <c r="Q18" s="25" t="s">
        <v>136</v>
      </c>
      <c r="R18" s="11">
        <v>8087812367</v>
      </c>
      <c r="S18" s="11" t="s">
        <v>54</v>
      </c>
      <c r="T18" s="11" t="s">
        <v>55</v>
      </c>
      <c r="U18" s="11" t="s">
        <v>56</v>
      </c>
      <c r="V18" s="13">
        <v>36000</v>
      </c>
      <c r="W18" s="13">
        <v>5168</v>
      </c>
      <c r="X18" s="13">
        <v>1925</v>
      </c>
      <c r="Y18" s="13">
        <v>1935</v>
      </c>
      <c r="Z18" s="13">
        <v>10916</v>
      </c>
      <c r="AA18" s="14">
        <f t="shared" si="0"/>
        <v>55944</v>
      </c>
      <c r="AB18" s="22">
        <f t="shared" si="1"/>
        <v>671328</v>
      </c>
      <c r="AC18" s="13" t="str">
        <f>IF(Table1346[[#This Row],[Performance_Rating]]&gt;5,"YES","NO")</f>
        <v>NO</v>
      </c>
      <c r="AD18" s="37">
        <f ca="1">YEARFRAC(Table1346[[#This Row],[Joining_Date]],TODAY())</f>
        <v>1.5249999999999999</v>
      </c>
      <c r="AE18" s="11" t="str">
        <f ca="1">IF(Table1346[[#This Row],[Experience]]&gt;3,"ELIGIBLE","NOT ELIGIBLE")</f>
        <v>NOT ELIGIBLE</v>
      </c>
    </row>
    <row r="19" spans="1:31">
      <c r="A19" s="20" t="s">
        <v>137</v>
      </c>
      <c r="B19" s="11" t="s">
        <v>138</v>
      </c>
      <c r="C19" s="11" t="s">
        <v>152</v>
      </c>
      <c r="D19" s="11">
        <v>30</v>
      </c>
      <c r="E19" s="12">
        <v>44758</v>
      </c>
      <c r="F19" s="12" t="s">
        <v>62</v>
      </c>
      <c r="G19" s="11">
        <v>4</v>
      </c>
      <c r="H19" s="11">
        <v>5</v>
      </c>
      <c r="I19" s="11" t="e" vm="13">
        <v>#VALUE!</v>
      </c>
      <c r="J19" s="11" t="s">
        <v>33</v>
      </c>
      <c r="K19" s="11" t="s">
        <v>63</v>
      </c>
      <c r="L19" s="11" t="s">
        <v>64</v>
      </c>
      <c r="M19" s="11" t="s">
        <v>50</v>
      </c>
      <c r="N19" s="11" t="s">
        <v>66</v>
      </c>
      <c r="O19" s="12">
        <v>40128</v>
      </c>
      <c r="P19" s="11" t="s">
        <v>52</v>
      </c>
      <c r="Q19" s="25" t="s">
        <v>140</v>
      </c>
      <c r="R19" s="11">
        <v>8123456780</v>
      </c>
      <c r="S19" s="11" t="s">
        <v>69</v>
      </c>
      <c r="T19" s="11" t="s">
        <v>70</v>
      </c>
      <c r="U19" s="11" t="s">
        <v>42</v>
      </c>
      <c r="V19" s="13">
        <v>46000</v>
      </c>
      <c r="W19" s="13">
        <v>4723</v>
      </c>
      <c r="X19" s="13">
        <v>2454</v>
      </c>
      <c r="Y19" s="13">
        <v>2159</v>
      </c>
      <c r="Z19" s="13">
        <v>12524</v>
      </c>
      <c r="AA19" s="14">
        <f t="shared" si="0"/>
        <v>67860</v>
      </c>
      <c r="AB19" s="22">
        <f t="shared" si="1"/>
        <v>814320</v>
      </c>
      <c r="AC19" s="13" t="str">
        <f>IF(Table1346[[#This Row],[Performance_Rating]]&gt;5,"YES","NO")</f>
        <v>NO</v>
      </c>
      <c r="AD19" s="37">
        <f ca="1">YEARFRAC(Table1346[[#This Row],[Joining_Date]],TODAY())</f>
        <v>4.0305555555555559</v>
      </c>
      <c r="AE19" s="11" t="str">
        <f ca="1">IF(Table1346[[#This Row],[Experience]]&gt;3,"ELIGIBLE","NOT ELIGIBLE")</f>
        <v>ELIGIBLE</v>
      </c>
    </row>
    <row r="20" spans="1:31">
      <c r="A20" s="20" t="s">
        <v>141</v>
      </c>
      <c r="B20" s="10" t="s">
        <v>142</v>
      </c>
      <c r="C20" s="11" t="s">
        <v>152</v>
      </c>
      <c r="D20" s="11">
        <v>27</v>
      </c>
      <c r="E20" s="12">
        <v>46005</v>
      </c>
      <c r="F20" s="12" t="s">
        <v>76</v>
      </c>
      <c r="G20" s="11">
        <v>2</v>
      </c>
      <c r="H20" s="11">
        <v>6</v>
      </c>
      <c r="I20" s="11" t="e" vm="14">
        <v>#VALUE!</v>
      </c>
      <c r="J20" s="11" t="s">
        <v>33</v>
      </c>
      <c r="K20" s="11" t="s">
        <v>34</v>
      </c>
      <c r="L20" s="11" t="s">
        <v>49</v>
      </c>
      <c r="M20" s="11" t="s">
        <v>65</v>
      </c>
      <c r="N20" s="11" t="s">
        <v>51</v>
      </c>
      <c r="O20" s="12">
        <v>40643</v>
      </c>
      <c r="P20" s="11" t="s">
        <v>38</v>
      </c>
      <c r="Q20" s="25" t="s">
        <v>143</v>
      </c>
      <c r="R20" s="11">
        <v>9087654321</v>
      </c>
      <c r="S20" s="11" t="s">
        <v>40</v>
      </c>
      <c r="T20" s="11" t="s">
        <v>41</v>
      </c>
      <c r="U20" s="11" t="s">
        <v>42</v>
      </c>
      <c r="V20" s="13">
        <v>32000</v>
      </c>
      <c r="W20" s="13">
        <v>2879</v>
      </c>
      <c r="X20" s="13">
        <v>2169</v>
      </c>
      <c r="Y20" s="13">
        <v>1695</v>
      </c>
      <c r="Z20" s="13">
        <v>14418</v>
      </c>
      <c r="AA20" s="14">
        <f t="shared" si="0"/>
        <v>53161</v>
      </c>
      <c r="AB20" s="22">
        <f t="shared" si="1"/>
        <v>637932</v>
      </c>
      <c r="AC20" s="13" t="str">
        <f>IF(Table1346[[#This Row],[Performance_Rating]]&gt;5,"YES","NO")</f>
        <v>NO</v>
      </c>
      <c r="AD20" s="37">
        <f ca="1">YEARFRAC(Table1346[[#This Row],[Joining_Date]],TODAY())</f>
        <v>0.61944444444444446</v>
      </c>
      <c r="AE20" s="11" t="str">
        <f ca="1">IF(Table1346[[#This Row],[Experience]]&gt;3,"ELIGIBLE","NOT ELIGIBLE")</f>
        <v>NOT ELIGIBLE</v>
      </c>
    </row>
    <row r="21" spans="1:31" ht="15.75" customHeight="1">
      <c r="A21" s="21" t="s">
        <v>144</v>
      </c>
      <c r="B21" s="16" t="s">
        <v>145</v>
      </c>
      <c r="C21" s="15" t="s">
        <v>151</v>
      </c>
      <c r="D21" s="15">
        <v>35</v>
      </c>
      <c r="E21" s="17">
        <v>45283</v>
      </c>
      <c r="F21" s="15" t="s">
        <v>84</v>
      </c>
      <c r="G21" s="15">
        <v>2</v>
      </c>
      <c r="H21" s="15">
        <v>4</v>
      </c>
      <c r="I21" s="15" t="e" vm="13">
        <v>#VALUE!</v>
      </c>
      <c r="J21" s="15" t="s">
        <v>33</v>
      </c>
      <c r="K21" s="15" t="s">
        <v>63</v>
      </c>
      <c r="L21" s="15" t="s">
        <v>49</v>
      </c>
      <c r="M21" s="15" t="s">
        <v>65</v>
      </c>
      <c r="N21" s="15" t="s">
        <v>66</v>
      </c>
      <c r="O21" s="17">
        <v>37415</v>
      </c>
      <c r="P21" s="15" t="s">
        <v>52</v>
      </c>
      <c r="Q21" s="26" t="s">
        <v>147</v>
      </c>
      <c r="R21" s="15">
        <v>8292939495</v>
      </c>
      <c r="S21" s="15" t="s">
        <v>54</v>
      </c>
      <c r="T21" s="15" t="s">
        <v>55</v>
      </c>
      <c r="U21" s="15" t="s">
        <v>56</v>
      </c>
      <c r="V21" s="18">
        <v>50000</v>
      </c>
      <c r="W21" s="18">
        <v>4261</v>
      </c>
      <c r="X21" s="18">
        <v>2048</v>
      </c>
      <c r="Y21" s="18">
        <v>2951</v>
      </c>
      <c r="Z21" s="18">
        <v>15996</v>
      </c>
      <c r="AA21" s="19">
        <f t="shared" si="0"/>
        <v>75256</v>
      </c>
      <c r="AB21" s="23">
        <f t="shared" si="1"/>
        <v>903072</v>
      </c>
      <c r="AC21" s="18" t="str">
        <f>IF(Table1346[[#This Row],[Performance_Rating]]&gt;5,"YES","NO")</f>
        <v>NO</v>
      </c>
      <c r="AD21" s="38">
        <f ca="1">YEARFRAC(Table1346[[#This Row],[Joining_Date]],TODAY())</f>
        <v>2.5944444444444446</v>
      </c>
      <c r="AE21" s="15" t="str">
        <f ca="1">IF(Table1346[[#This Row],[Experience]]&gt;3,"ELIGIBLE","NOT ELIGIBLE")</f>
        <v>NOT ELIGIBLE</v>
      </c>
    </row>
    <row r="22" spans="1:31" s="50" customFormat="1">
      <c r="A22" s="30"/>
      <c r="B22" s="52"/>
      <c r="C22" s="52"/>
      <c r="D22" s="52"/>
      <c r="E22" s="45"/>
      <c r="F22" s="45"/>
      <c r="G22" s="52"/>
      <c r="H22" s="52"/>
      <c r="I22" s="52"/>
      <c r="J22" s="52"/>
      <c r="K22" s="52"/>
      <c r="L22" s="52"/>
      <c r="M22" s="52"/>
      <c r="N22" s="52"/>
      <c r="O22" s="52"/>
      <c r="Q22" s="51"/>
    </row>
    <row r="23" spans="1:31">
      <c r="A23" s="30"/>
      <c r="B23" s="140" t="s">
        <v>171</v>
      </c>
      <c r="C23" s="140"/>
      <c r="D23" s="140"/>
      <c r="E23" s="140"/>
      <c r="F23" s="45"/>
      <c r="G23" s="141" t="s">
        <v>172</v>
      </c>
      <c r="H23" s="141"/>
      <c r="I23" s="141"/>
      <c r="J23" s="141"/>
      <c r="K23" s="52"/>
      <c r="L23" s="142" t="s">
        <v>173</v>
      </c>
      <c r="M23" s="142"/>
      <c r="N23" s="142"/>
      <c r="O23" s="142"/>
    </row>
    <row r="24" spans="1:31">
      <c r="A24" s="30"/>
      <c r="B24" s="57" t="s">
        <v>0</v>
      </c>
      <c r="C24" s="57" t="s">
        <v>1</v>
      </c>
      <c r="D24" s="57" t="s">
        <v>148</v>
      </c>
      <c r="E24" s="57" t="s">
        <v>149</v>
      </c>
      <c r="F24" s="46"/>
      <c r="G24" s="53" t="s">
        <v>0</v>
      </c>
      <c r="H24" s="53" t="s">
        <v>1</v>
      </c>
      <c r="I24" s="53" t="s">
        <v>164</v>
      </c>
      <c r="J24" s="53" t="s">
        <v>163</v>
      </c>
      <c r="K24" s="52"/>
      <c r="L24" s="58" t="s">
        <v>0</v>
      </c>
      <c r="M24" s="58" t="s">
        <v>1</v>
      </c>
      <c r="N24" s="58" t="s">
        <v>153</v>
      </c>
      <c r="O24" s="58" t="s">
        <v>165</v>
      </c>
    </row>
    <row r="25" spans="1:31">
      <c r="A25" s="30"/>
      <c r="B25" s="56" t="s">
        <v>57</v>
      </c>
      <c r="C25" s="56" t="str">
        <f>VLOOKUP(B25,$A:$B,2,0)</f>
        <v>Nimrat Khaira</v>
      </c>
      <c r="D25" s="56" t="str">
        <f>VLOOKUP(B25,$A:$C,3,0)</f>
        <v>Female</v>
      </c>
      <c r="E25" s="56">
        <f>VLOOKUP(B25,$A:$D,4,0)</f>
        <v>27</v>
      </c>
      <c r="F25" s="46"/>
      <c r="G25" s="54" t="s">
        <v>103</v>
      </c>
      <c r="H25" s="54" t="str">
        <f>_xlfn.XLOOKUP(G25,$A:$A,$B:$B,"NA",0)</f>
        <v>Rahul Gupta</v>
      </c>
      <c r="I25" s="55">
        <f ca="1">_xlfn.XLOOKUP(G25,A:A,AD:AD,"NA",0)</f>
        <v>0.77777777777777779</v>
      </c>
      <c r="J25" s="54" t="str">
        <f>_xlfn.XLOOKUP(G25,A:A,AC:AC,"NA",0)</f>
        <v>YES</v>
      </c>
      <c r="K25" s="52"/>
      <c r="L25" s="59" t="s">
        <v>27</v>
      </c>
      <c r="M25" s="59" t="str">
        <f>INDEX($B:$B,MATCH(L25,$A:$A,0))</f>
        <v>Chiragsingh Khusar</v>
      </c>
      <c r="N25" s="59">
        <f>INDEX($AA:$AA,MATCH(L25,A:A,0))</f>
        <v>47314</v>
      </c>
      <c r="O25" s="59" t="str">
        <f ca="1">INDEX($AE:$AE,MATCH(L25,$A:$A,0))</f>
        <v>ELIGIBLE</v>
      </c>
    </row>
    <row r="26" spans="1:31">
      <c r="A26" s="30"/>
      <c r="B26" s="56" t="s">
        <v>27</v>
      </c>
      <c r="C26" s="56" t="str">
        <f>VLOOKUP(B26,$A:$B,2,0)</f>
        <v>Chiragsingh Khusar</v>
      </c>
      <c r="D26" s="56" t="str">
        <f>VLOOKUP(B26,$A:$C,3,0)</f>
        <v>Male</v>
      </c>
      <c r="E26" s="56">
        <f>VLOOKUP(B26,$A:$D,4,0)</f>
        <v>39</v>
      </c>
      <c r="F26" s="47"/>
      <c r="G26" s="54" t="s">
        <v>106</v>
      </c>
      <c r="H26" s="54" t="str">
        <f>_xlfn.XLOOKUP(G26,$A:$A,$B:$B,"NA",0)</f>
        <v>Ananya Roy</v>
      </c>
      <c r="I26" s="55">
        <f ca="1">_xlfn.XLOOKUP(G26,A:A,AD:AD,"NA",0)</f>
        <v>4.6749999999999998</v>
      </c>
      <c r="J26" s="54" t="str">
        <f>_xlfn.XLOOKUP(G26,A:A,AC:AC,"NA",0)</f>
        <v>NO</v>
      </c>
      <c r="K26" s="52"/>
      <c r="L26" s="59" t="s">
        <v>57</v>
      </c>
      <c r="M26" s="59" t="str">
        <f>INDEX($B:$B,MATCH(L26,$A:$A,0))</f>
        <v>Nimrat Khaira</v>
      </c>
      <c r="N26" s="59">
        <f>INDEX($AA:$AA,MATCH(L26,A:A,0))</f>
        <v>59419</v>
      </c>
      <c r="O26" s="59" t="str">
        <f ca="1">INDEX($AE:$AE,MATCH(L26,$A:$A,0))</f>
        <v>NOT ELIGIBLE</v>
      </c>
    </row>
    <row r="27" spans="1:31">
      <c r="A27" s="30"/>
      <c r="B27" s="56" t="s">
        <v>174</v>
      </c>
      <c r="C27" s="56" t="str">
        <f>VLOOKUP(B27,$A:$B,2,0)</f>
        <v>Sneha Kapoor</v>
      </c>
      <c r="D27" s="56" t="str">
        <f>VLOOKUP(B27,$A:$C,3,0)</f>
        <v>Female</v>
      </c>
      <c r="E27" s="56">
        <f>VLOOKUP(B27,$A:$D,4,0)</f>
        <v>22</v>
      </c>
      <c r="F27" s="47"/>
      <c r="G27" s="54" t="s">
        <v>175</v>
      </c>
      <c r="H27" s="54" t="str">
        <f>_xlfn.XLOOKUP(G27,$A:$A,$B:$B,"NA",0)</f>
        <v>NA</v>
      </c>
      <c r="I27" s="55" t="str">
        <f>_xlfn.XLOOKUP(G27,A:A,AD:AD,"NA",0)</f>
        <v>NA</v>
      </c>
      <c r="J27" s="54" t="str">
        <f>_xlfn.XLOOKUP(G27,A:A,AC:AC,"NA",0)</f>
        <v>NA</v>
      </c>
      <c r="K27" s="52"/>
      <c r="L27" s="59" t="s">
        <v>175</v>
      </c>
      <c r="M27" s="59" t="e">
        <f>INDEX($B:$B,MATCH(L27,$A:$A,0))</f>
        <v>#N/A</v>
      </c>
      <c r="N27" s="59" t="e">
        <f>INDEX($AA:$AA,MATCH(L27,A:A,0))</f>
        <v>#N/A</v>
      </c>
      <c r="O27" s="59" t="e">
        <f>INDEX($AE:$AE,MATCH(L27,$A:$A,0))</f>
        <v>#N/A</v>
      </c>
    </row>
    <row r="28" spans="1:31">
      <c r="A28" s="30"/>
      <c r="B28" s="56" t="s">
        <v>176</v>
      </c>
      <c r="C28" s="56" t="str">
        <f>VLOOKUP(B28,$A:$B,2,0)</f>
        <v>Karan Singh</v>
      </c>
      <c r="D28" s="56" t="str">
        <f>VLOOKUP(B28,$A:$C,3,0)</f>
        <v>Male</v>
      </c>
      <c r="E28" s="56">
        <f>VLOOKUP(B28,$A:$D,4,0)</f>
        <v>35</v>
      </c>
      <c r="F28" s="47"/>
      <c r="G28" s="54" t="s">
        <v>141</v>
      </c>
      <c r="H28" s="54" t="str">
        <f>_xlfn.XLOOKUP(G28,$A:$A,$B:$B,"NA",0)</f>
        <v>Pooja Sharma</v>
      </c>
      <c r="I28" s="55">
        <f ca="1">_xlfn.XLOOKUP(G28,A:A,AD:AD,"NA",0)</f>
        <v>0.61944444444444446</v>
      </c>
      <c r="J28" s="54" t="str">
        <f>_xlfn.XLOOKUP(G28,A:A,AC:AC,"NA",0)</f>
        <v>NO</v>
      </c>
      <c r="K28" s="52"/>
      <c r="L28" s="59" t="s">
        <v>133</v>
      </c>
      <c r="M28" s="59" t="str">
        <f>INDEX($B:$B,MATCH(L28,$A:$A,0))</f>
        <v>Prem Dhillon</v>
      </c>
      <c r="N28" s="59">
        <f>INDEX($AA:$AA,MATCH(L28,A:A,0))</f>
        <v>55944</v>
      </c>
      <c r="O28" s="59" t="str">
        <f ca="1">INDEX($AE:$AE,MATCH(L28,$A:$A,0))</f>
        <v>NOT ELIGIBLE</v>
      </c>
    </row>
    <row r="29" spans="1:31">
      <c r="A29" s="30"/>
      <c r="B29" s="56" t="s">
        <v>133</v>
      </c>
      <c r="C29" s="56" t="str">
        <f>VLOOKUP(B29,$A:$B,2,0)</f>
        <v>Prem Dhillon</v>
      </c>
      <c r="D29" s="56" t="str">
        <f>VLOOKUP(B29,$A:$C,3,0)</f>
        <v>Male</v>
      </c>
      <c r="E29" s="56">
        <f>VLOOKUP(B29,$A:$D,4,0)</f>
        <v>26</v>
      </c>
      <c r="F29" s="45"/>
      <c r="G29" s="54" t="s">
        <v>144</v>
      </c>
      <c r="H29" s="54" t="str">
        <f>_xlfn.XLOOKUP(G29,$A:$A,$B:$B,"NA",0)</f>
        <v>Karan Singh</v>
      </c>
      <c r="I29" s="55">
        <f ca="1">_xlfn.XLOOKUP(G29,A:A,AD:AD,"NA",0)</f>
        <v>2.5944444444444446</v>
      </c>
      <c r="J29" s="54" t="str">
        <f>_xlfn.XLOOKUP(G29,A:A,AC:AC,"NA",0)</f>
        <v>NO</v>
      </c>
      <c r="K29" s="52"/>
      <c r="L29" s="59" t="s">
        <v>144</v>
      </c>
      <c r="M29" s="59" t="str">
        <f>INDEX($B:$B,MATCH(L29,$A:$A,0))</f>
        <v>Karan Singh</v>
      </c>
      <c r="N29" s="59">
        <f>INDEX($AA:$AA,MATCH(L29,A:A,0))</f>
        <v>75256</v>
      </c>
      <c r="O29" s="59" t="str">
        <f ca="1">INDEX($AE:$AE,MATCH(L29,$A:$A,0))</f>
        <v>NOT ELIGIBLE</v>
      </c>
    </row>
    <row r="30" spans="1:31">
      <c r="A30" s="30"/>
      <c r="B30" s="31"/>
      <c r="C30" s="31"/>
      <c r="D30" s="31"/>
      <c r="E30" s="31"/>
      <c r="F30" s="31"/>
      <c r="G30" s="30"/>
      <c r="L30" s="48"/>
      <c r="M30" s="48"/>
      <c r="N30" s="48"/>
      <c r="O30" s="48"/>
    </row>
    <row r="31" spans="1:31">
      <c r="F31" s="50"/>
    </row>
  </sheetData>
  <mergeCells count="3">
    <mergeCell ref="B23:E23"/>
    <mergeCell ref="G23:J23"/>
    <mergeCell ref="L23:O23"/>
  </mergeCells>
  <hyperlinks>
    <hyperlink ref="Q2" r:id="rId1" xr:uid="{2D8D01B6-A097-44CD-A155-222AFC2252FB}"/>
    <hyperlink ref="Q3" r:id="rId2" xr:uid="{8B321FA8-AEA7-4BDB-B3F2-86FDBFE32DA4}"/>
    <hyperlink ref="Q4" r:id="rId3" xr:uid="{B527F1F8-7EB2-4CB3-A3DE-CB282788CA7A}"/>
    <hyperlink ref="Q5" r:id="rId4" xr:uid="{5F8EDE24-A08D-431F-BD56-EF1A84324065}"/>
    <hyperlink ref="Q6" r:id="rId5" xr:uid="{816C4068-AED2-4E98-8D45-DAB05909EAA8}"/>
    <hyperlink ref="Q7" r:id="rId6" xr:uid="{E12BAA1D-0512-4353-824F-030F88284CB1}"/>
    <hyperlink ref="Q8" r:id="rId7" xr:uid="{8BB41B9C-5123-4EED-9BC5-1ACB07A3E46A}"/>
    <hyperlink ref="Q9" r:id="rId8" xr:uid="{F1FD41F7-9121-47C0-8211-E9434A89212C}"/>
    <hyperlink ref="Q10" r:id="rId9" xr:uid="{D1B2EC8A-37B2-4F6C-A253-7178D791E0A3}"/>
    <hyperlink ref="Q11" r:id="rId10" xr:uid="{858C5582-62BC-420F-8804-1AB997ADA2B8}"/>
    <hyperlink ref="Q12" r:id="rId11" xr:uid="{26F6FF0E-ADA6-4B66-AE0D-38ADED207925}"/>
    <hyperlink ref="Q13" r:id="rId12" xr:uid="{29DC6069-CDD5-471C-8632-352AA6266E28}"/>
    <hyperlink ref="Q14" r:id="rId13" xr:uid="{EE50F161-DED1-4B98-983D-AD891F83C16C}"/>
    <hyperlink ref="Q15" r:id="rId14" xr:uid="{A450BE8E-9D30-44A3-B7D4-B49C330C1D78}"/>
    <hyperlink ref="Q16" r:id="rId15" xr:uid="{E97D4E7F-E8D6-45E0-B2EF-850791908D41}"/>
    <hyperlink ref="Q17" r:id="rId16" xr:uid="{9C1B3778-10D9-43D5-B24A-05FF2E531C9E}"/>
    <hyperlink ref="Q18" r:id="rId17" xr:uid="{B9770CDE-A6A2-4903-8BC5-DA40D91C074B}"/>
    <hyperlink ref="Q19" r:id="rId18" xr:uid="{40AD72B1-3A1B-4A23-AFF9-DDCCAB923C4C}"/>
    <hyperlink ref="Q20" r:id="rId19" xr:uid="{F7B306D7-5F5B-4306-86D5-10087554D8F3}"/>
    <hyperlink ref="Q21" r:id="rId20" xr:uid="{55C3A9B6-677B-4B56-B298-20FD5403AE70}"/>
  </hyperlinks>
  <pageMargins left="0.7" right="0.7" top="0.75" bottom="0.75" header="0.3" footer="0.3"/>
  <tableParts count="1">
    <tablePart r:id="rId2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E5BF5-73D9-4149-B767-51BAC29DA603}">
  <dimension ref="A3:I64"/>
  <sheetViews>
    <sheetView workbookViewId="0">
      <selection activeCell="K21" sqref="K21"/>
    </sheetView>
  </sheetViews>
  <sheetFormatPr defaultRowHeight="15"/>
  <cols>
    <col min="1" max="1" width="16" bestFit="1" customWidth="1"/>
    <col min="2" max="2" width="22.5703125" bestFit="1" customWidth="1"/>
    <col min="3" max="3" width="15.42578125" bestFit="1" customWidth="1"/>
    <col min="5" max="5" width="16" bestFit="1" customWidth="1"/>
    <col min="6" max="6" width="10.85546875" bestFit="1" customWidth="1"/>
    <col min="7" max="7" width="21" bestFit="1" customWidth="1"/>
    <col min="8" max="8" width="16" bestFit="1" customWidth="1"/>
    <col min="9" max="9" width="17.85546875" bestFit="1" customWidth="1"/>
  </cols>
  <sheetData>
    <row r="3" spans="1:9">
      <c r="A3" s="65" t="s">
        <v>0</v>
      </c>
      <c r="B3" s="65" t="s">
        <v>10</v>
      </c>
      <c r="C3" s="65" t="s">
        <v>12</v>
      </c>
    </row>
    <row r="4" spans="1:9">
      <c r="A4" t="s">
        <v>27</v>
      </c>
      <c r="B4" t="s">
        <v>33</v>
      </c>
      <c r="C4" t="s">
        <v>35</v>
      </c>
      <c r="E4" s="65" t="s">
        <v>0</v>
      </c>
      <c r="F4" s="65" t="s">
        <v>148</v>
      </c>
    </row>
    <row r="5" spans="1:9">
      <c r="B5" t="s">
        <v>177</v>
      </c>
      <c r="E5" t="s">
        <v>27</v>
      </c>
      <c r="F5" t="s">
        <v>151</v>
      </c>
      <c r="H5" s="65" t="s">
        <v>0</v>
      </c>
      <c r="I5" t="s">
        <v>178</v>
      </c>
    </row>
    <row r="6" spans="1:9">
      <c r="A6" t="s">
        <v>179</v>
      </c>
      <c r="E6" t="s">
        <v>179</v>
      </c>
      <c r="H6" t="s">
        <v>27</v>
      </c>
      <c r="I6" s="66">
        <v>4.2361111111111107</v>
      </c>
    </row>
    <row r="7" spans="1:9">
      <c r="A7" t="s">
        <v>43</v>
      </c>
      <c r="B7" t="s">
        <v>33</v>
      </c>
      <c r="C7" t="s">
        <v>49</v>
      </c>
      <c r="E7" t="s">
        <v>43</v>
      </c>
      <c r="F7" t="s">
        <v>151</v>
      </c>
      <c r="H7" t="s">
        <v>43</v>
      </c>
      <c r="I7" s="66">
        <v>2.2611111111111111</v>
      </c>
    </row>
    <row r="8" spans="1:9">
      <c r="B8" t="s">
        <v>177</v>
      </c>
      <c r="E8" t="s">
        <v>180</v>
      </c>
      <c r="H8" t="s">
        <v>57</v>
      </c>
      <c r="I8" s="66">
        <v>1.7361111111111112</v>
      </c>
    </row>
    <row r="9" spans="1:9">
      <c r="A9" t="s">
        <v>180</v>
      </c>
      <c r="E9" t="s">
        <v>57</v>
      </c>
      <c r="F9" t="s">
        <v>152</v>
      </c>
      <c r="H9" t="s">
        <v>71</v>
      </c>
      <c r="I9" s="66">
        <v>3.0444444444444443</v>
      </c>
    </row>
    <row r="10" spans="1:9">
      <c r="A10" t="s">
        <v>57</v>
      </c>
      <c r="B10" t="s">
        <v>33</v>
      </c>
      <c r="C10" t="s">
        <v>64</v>
      </c>
      <c r="E10" t="s">
        <v>181</v>
      </c>
      <c r="H10" t="s">
        <v>79</v>
      </c>
      <c r="I10" s="66">
        <v>1.4111111111111112</v>
      </c>
    </row>
    <row r="11" spans="1:9">
      <c r="B11" t="s">
        <v>177</v>
      </c>
      <c r="E11" t="s">
        <v>71</v>
      </c>
      <c r="F11" t="s">
        <v>151</v>
      </c>
      <c r="H11" t="s">
        <v>86</v>
      </c>
      <c r="I11" s="66">
        <v>0.19722222222222222</v>
      </c>
    </row>
    <row r="12" spans="1:9">
      <c r="A12" t="s">
        <v>181</v>
      </c>
      <c r="E12" t="s">
        <v>182</v>
      </c>
      <c r="H12" t="s">
        <v>92</v>
      </c>
      <c r="I12" s="66">
        <v>5.1083333333333334</v>
      </c>
    </row>
    <row r="13" spans="1:9">
      <c r="A13" t="s">
        <v>71</v>
      </c>
      <c r="B13" t="s">
        <v>33</v>
      </c>
      <c r="C13" t="s">
        <v>35</v>
      </c>
      <c r="E13" t="s">
        <v>79</v>
      </c>
      <c r="F13" t="s">
        <v>152</v>
      </c>
      <c r="H13" t="s">
        <v>96</v>
      </c>
      <c r="I13" s="66">
        <v>1.3722222222222222</v>
      </c>
    </row>
    <row r="14" spans="1:9">
      <c r="B14" t="s">
        <v>177</v>
      </c>
      <c r="E14" t="s">
        <v>183</v>
      </c>
      <c r="H14" t="s">
        <v>100</v>
      </c>
      <c r="I14" s="66">
        <v>4.2166666666666668</v>
      </c>
    </row>
    <row r="15" spans="1:9">
      <c r="A15" t="s">
        <v>182</v>
      </c>
      <c r="E15" t="s">
        <v>86</v>
      </c>
      <c r="F15" t="s">
        <v>152</v>
      </c>
      <c r="H15" t="s">
        <v>103</v>
      </c>
      <c r="I15" s="66">
        <v>0.77222222222222225</v>
      </c>
    </row>
    <row r="16" spans="1:9">
      <c r="A16" t="s">
        <v>79</v>
      </c>
      <c r="B16" t="s">
        <v>33</v>
      </c>
      <c r="C16" t="s">
        <v>49</v>
      </c>
      <c r="E16" t="s">
        <v>184</v>
      </c>
      <c r="H16" t="s">
        <v>106</v>
      </c>
      <c r="I16" s="66">
        <v>4.6694444444444443</v>
      </c>
    </row>
    <row r="17" spans="1:9">
      <c r="B17" t="s">
        <v>177</v>
      </c>
      <c r="E17" t="s">
        <v>92</v>
      </c>
      <c r="F17" t="s">
        <v>152</v>
      </c>
      <c r="H17" t="s">
        <v>110</v>
      </c>
      <c r="I17" s="66">
        <v>3.0444444444444443</v>
      </c>
    </row>
    <row r="18" spans="1:9">
      <c r="A18" t="s">
        <v>183</v>
      </c>
      <c r="E18" t="s">
        <v>185</v>
      </c>
      <c r="H18" t="s">
        <v>115</v>
      </c>
      <c r="I18" s="66">
        <v>2.0083333333333333</v>
      </c>
    </row>
    <row r="19" spans="1:9">
      <c r="A19" t="s">
        <v>86</v>
      </c>
      <c r="B19" t="s">
        <v>33</v>
      </c>
      <c r="C19" t="s">
        <v>64</v>
      </c>
      <c r="E19" t="s">
        <v>96</v>
      </c>
      <c r="F19" t="s">
        <v>151</v>
      </c>
      <c r="H19" t="s">
        <v>119</v>
      </c>
      <c r="I19" s="66">
        <v>4.916666666666667</v>
      </c>
    </row>
    <row r="20" spans="1:9">
      <c r="B20" t="s">
        <v>177</v>
      </c>
      <c r="E20" t="s">
        <v>186</v>
      </c>
      <c r="H20" t="s">
        <v>124</v>
      </c>
      <c r="I20" s="66">
        <v>0.66111111111111109</v>
      </c>
    </row>
    <row r="21" spans="1:9">
      <c r="A21" t="s">
        <v>184</v>
      </c>
      <c r="E21" t="s">
        <v>100</v>
      </c>
      <c r="F21" t="s">
        <v>152</v>
      </c>
      <c r="H21" t="s">
        <v>129</v>
      </c>
      <c r="I21" s="66">
        <v>5.3527777777777779</v>
      </c>
    </row>
    <row r="22" spans="1:9">
      <c r="A22" t="s">
        <v>92</v>
      </c>
      <c r="B22" t="s">
        <v>33</v>
      </c>
      <c r="C22" t="s">
        <v>49</v>
      </c>
      <c r="E22" t="s">
        <v>187</v>
      </c>
      <c r="H22" t="s">
        <v>133</v>
      </c>
      <c r="I22" s="66">
        <v>1.5194444444444444</v>
      </c>
    </row>
    <row r="23" spans="1:9">
      <c r="B23" t="s">
        <v>177</v>
      </c>
      <c r="E23" t="s">
        <v>103</v>
      </c>
      <c r="F23" t="s">
        <v>151</v>
      </c>
      <c r="H23" t="s">
        <v>137</v>
      </c>
      <c r="I23" s="66">
        <v>4.0250000000000004</v>
      </c>
    </row>
    <row r="24" spans="1:9">
      <c r="A24" t="s">
        <v>185</v>
      </c>
      <c r="E24" t="s">
        <v>188</v>
      </c>
      <c r="H24" t="s">
        <v>141</v>
      </c>
      <c r="I24" s="66">
        <v>0.61388888888888893</v>
      </c>
    </row>
    <row r="25" spans="1:9">
      <c r="A25" t="s">
        <v>96</v>
      </c>
      <c r="B25" t="s">
        <v>33</v>
      </c>
      <c r="C25" t="s">
        <v>64</v>
      </c>
      <c r="E25" t="s">
        <v>106</v>
      </c>
      <c r="F25" t="s">
        <v>152</v>
      </c>
      <c r="H25" t="s">
        <v>144</v>
      </c>
      <c r="I25" s="66">
        <v>2.588888888888889</v>
      </c>
    </row>
    <row r="26" spans="1:9">
      <c r="B26" t="s">
        <v>177</v>
      </c>
      <c r="E26" t="s">
        <v>189</v>
      </c>
      <c r="H26" t="s">
        <v>190</v>
      </c>
      <c r="I26" s="66">
        <v>53.755555555555546</v>
      </c>
    </row>
    <row r="27" spans="1:9">
      <c r="A27" t="s">
        <v>186</v>
      </c>
      <c r="E27" t="s">
        <v>110</v>
      </c>
      <c r="F27" t="s">
        <v>151</v>
      </c>
    </row>
    <row r="28" spans="1:9">
      <c r="A28" t="s">
        <v>100</v>
      </c>
      <c r="B28" t="s">
        <v>33</v>
      </c>
      <c r="C28" t="s">
        <v>35</v>
      </c>
      <c r="E28" t="s">
        <v>191</v>
      </c>
    </row>
    <row r="29" spans="1:9">
      <c r="B29" t="s">
        <v>177</v>
      </c>
      <c r="E29" t="s">
        <v>115</v>
      </c>
      <c r="F29" t="s">
        <v>152</v>
      </c>
    </row>
    <row r="30" spans="1:9">
      <c r="A30" t="s">
        <v>187</v>
      </c>
      <c r="E30" t="s">
        <v>192</v>
      </c>
    </row>
    <row r="31" spans="1:9">
      <c r="A31" t="s">
        <v>103</v>
      </c>
      <c r="B31" t="s">
        <v>33</v>
      </c>
      <c r="C31" t="s">
        <v>49</v>
      </c>
      <c r="E31" t="s">
        <v>119</v>
      </c>
      <c r="F31" t="s">
        <v>151</v>
      </c>
    </row>
    <row r="32" spans="1:9">
      <c r="B32" t="s">
        <v>177</v>
      </c>
      <c r="E32" t="s">
        <v>193</v>
      </c>
    </row>
    <row r="33" spans="1:6">
      <c r="A33" t="s">
        <v>188</v>
      </c>
      <c r="E33" t="s">
        <v>124</v>
      </c>
      <c r="F33" t="s">
        <v>152</v>
      </c>
    </row>
    <row r="34" spans="1:6">
      <c r="A34" t="s">
        <v>106</v>
      </c>
      <c r="B34" t="s">
        <v>33</v>
      </c>
      <c r="C34" t="s">
        <v>64</v>
      </c>
      <c r="E34" t="s">
        <v>194</v>
      </c>
    </row>
    <row r="35" spans="1:6">
      <c r="B35" t="s">
        <v>177</v>
      </c>
      <c r="E35" t="s">
        <v>129</v>
      </c>
      <c r="F35" t="s">
        <v>152</v>
      </c>
    </row>
    <row r="36" spans="1:6">
      <c r="A36" t="s">
        <v>189</v>
      </c>
      <c r="E36" t="s">
        <v>195</v>
      </c>
    </row>
    <row r="37" spans="1:6">
      <c r="A37" t="s">
        <v>110</v>
      </c>
      <c r="B37" t="s">
        <v>33</v>
      </c>
      <c r="C37" t="s">
        <v>35</v>
      </c>
      <c r="E37" t="s">
        <v>133</v>
      </c>
      <c r="F37" t="s">
        <v>151</v>
      </c>
    </row>
    <row r="38" spans="1:6">
      <c r="B38" t="s">
        <v>177</v>
      </c>
      <c r="E38" t="s">
        <v>196</v>
      </c>
    </row>
    <row r="39" spans="1:6">
      <c r="A39" t="s">
        <v>191</v>
      </c>
      <c r="E39" t="s">
        <v>137</v>
      </c>
      <c r="F39" t="s">
        <v>152</v>
      </c>
    </row>
    <row r="40" spans="1:6">
      <c r="A40" t="s">
        <v>115</v>
      </c>
      <c r="B40" t="s">
        <v>33</v>
      </c>
      <c r="C40" t="s">
        <v>49</v>
      </c>
      <c r="E40" t="s">
        <v>197</v>
      </c>
    </row>
    <row r="41" spans="1:6">
      <c r="B41" t="s">
        <v>177</v>
      </c>
      <c r="E41" t="s">
        <v>141</v>
      </c>
      <c r="F41" t="s">
        <v>152</v>
      </c>
    </row>
    <row r="42" spans="1:6">
      <c r="A42" t="s">
        <v>192</v>
      </c>
      <c r="E42" t="s">
        <v>198</v>
      </c>
    </row>
    <row r="43" spans="1:6">
      <c r="A43" t="s">
        <v>119</v>
      </c>
      <c r="B43" t="s">
        <v>33</v>
      </c>
      <c r="C43" t="s">
        <v>64</v>
      </c>
      <c r="E43" t="s">
        <v>144</v>
      </c>
      <c r="F43" t="s">
        <v>151</v>
      </c>
    </row>
    <row r="44" spans="1:6">
      <c r="B44" t="s">
        <v>177</v>
      </c>
      <c r="E44" t="s">
        <v>199</v>
      </c>
    </row>
    <row r="45" spans="1:6">
      <c r="A45" t="s">
        <v>193</v>
      </c>
      <c r="E45" t="s">
        <v>190</v>
      </c>
    </row>
    <row r="46" spans="1:6">
      <c r="A46" t="s">
        <v>124</v>
      </c>
      <c r="B46" t="s">
        <v>33</v>
      </c>
      <c r="C46" t="s">
        <v>35</v>
      </c>
    </row>
    <row r="47" spans="1:6">
      <c r="B47" t="s">
        <v>177</v>
      </c>
    </row>
    <row r="48" spans="1:6">
      <c r="A48" t="s">
        <v>194</v>
      </c>
    </row>
    <row r="49" spans="1:3">
      <c r="A49" t="s">
        <v>129</v>
      </c>
      <c r="B49" t="s">
        <v>33</v>
      </c>
      <c r="C49" t="s">
        <v>49</v>
      </c>
    </row>
    <row r="50" spans="1:3">
      <c r="B50" t="s">
        <v>177</v>
      </c>
    </row>
    <row r="51" spans="1:3">
      <c r="A51" t="s">
        <v>195</v>
      </c>
    </row>
    <row r="52" spans="1:3">
      <c r="A52" t="s">
        <v>133</v>
      </c>
      <c r="B52" t="s">
        <v>33</v>
      </c>
      <c r="C52" t="s">
        <v>49</v>
      </c>
    </row>
    <row r="53" spans="1:3">
      <c r="B53" t="s">
        <v>177</v>
      </c>
    </row>
    <row r="54" spans="1:3">
      <c r="A54" t="s">
        <v>196</v>
      </c>
    </row>
    <row r="55" spans="1:3">
      <c r="A55" t="s">
        <v>137</v>
      </c>
      <c r="B55" t="s">
        <v>33</v>
      </c>
      <c r="C55" t="s">
        <v>64</v>
      </c>
    </row>
    <row r="56" spans="1:3">
      <c r="B56" t="s">
        <v>177</v>
      </c>
    </row>
    <row r="57" spans="1:3">
      <c r="A57" t="s">
        <v>197</v>
      </c>
    </row>
    <row r="58" spans="1:3">
      <c r="A58" t="s">
        <v>141</v>
      </c>
      <c r="B58" t="s">
        <v>33</v>
      </c>
      <c r="C58" t="s">
        <v>49</v>
      </c>
    </row>
    <row r="59" spans="1:3">
      <c r="B59" t="s">
        <v>177</v>
      </c>
    </row>
    <row r="60" spans="1:3">
      <c r="A60" t="s">
        <v>198</v>
      </c>
    </row>
    <row r="61" spans="1:3">
      <c r="A61" t="s">
        <v>144</v>
      </c>
      <c r="B61" t="s">
        <v>33</v>
      </c>
      <c r="C61" t="s">
        <v>49</v>
      </c>
    </row>
    <row r="62" spans="1:3">
      <c r="B62" t="s">
        <v>177</v>
      </c>
    </row>
    <row r="63" spans="1:3">
      <c r="A63" t="s">
        <v>199</v>
      </c>
    </row>
    <row r="64" spans="1:3">
      <c r="A64" t="s">
        <v>190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24BB1-7481-42FA-88DC-14BD7B74780F}">
  <dimension ref="A2:AL28"/>
  <sheetViews>
    <sheetView showGridLines="0" showRowColHeaders="0" tabSelected="1" workbookViewId="0">
      <selection activeCell="Z4" sqref="Z4"/>
      <extLst>
        <ext xmlns:xlsdti="http://schemas.microsoft.com/office/spreadsheetml/2023/showDataTypeIcons" uri="{77bfe23e-c014-4d31-8a63-9c772dbf06b6}">
          <xlsdti:showDataTypeIcons visible="0"/>
        </ext>
      </extLst>
    </sheetView>
  </sheetViews>
  <sheetFormatPr defaultRowHeight="15"/>
  <sheetData>
    <row r="2" spans="1:38" ht="23.25">
      <c r="A2" s="109"/>
      <c r="B2" s="109"/>
      <c r="C2" s="109"/>
      <c r="D2" s="109"/>
      <c r="E2" s="109"/>
      <c r="F2" s="109"/>
      <c r="G2" s="109"/>
      <c r="H2" s="109"/>
      <c r="I2" s="109"/>
      <c r="J2" s="109"/>
      <c r="K2" s="109"/>
      <c r="L2" s="109"/>
      <c r="M2" s="109"/>
      <c r="N2" s="109"/>
      <c r="O2" s="109"/>
      <c r="P2" s="109"/>
      <c r="Q2" s="109"/>
      <c r="R2" s="109"/>
      <c r="S2" s="109"/>
      <c r="T2" s="109"/>
      <c r="U2" s="109"/>
      <c r="V2" s="109"/>
      <c r="W2" s="75"/>
      <c r="X2" s="75"/>
    </row>
    <row r="3" spans="1:38" ht="23.25">
      <c r="A3" s="109"/>
      <c r="B3" s="109"/>
      <c r="C3" s="109"/>
      <c r="D3" s="109"/>
      <c r="E3" s="109"/>
      <c r="F3" s="109"/>
      <c r="G3" s="109"/>
      <c r="H3" s="109"/>
      <c r="I3" s="109"/>
      <c r="J3" s="109"/>
      <c r="K3" s="109"/>
      <c r="L3" s="109"/>
      <c r="M3" s="109"/>
      <c r="N3" s="109"/>
      <c r="O3" s="109"/>
      <c r="P3" s="109"/>
      <c r="Q3" s="109"/>
      <c r="R3" s="109"/>
      <c r="S3" s="109"/>
      <c r="T3" s="109"/>
      <c r="U3" s="109"/>
      <c r="V3" s="109"/>
      <c r="W3" s="75"/>
      <c r="X3" s="75"/>
    </row>
    <row r="4" spans="1:38">
      <c r="A4" s="133"/>
      <c r="B4" s="133"/>
      <c r="C4" s="133"/>
      <c r="D4" s="133"/>
      <c r="E4" s="133"/>
      <c r="F4" s="133"/>
      <c r="G4" s="133"/>
      <c r="H4" s="133"/>
      <c r="I4" s="133"/>
      <c r="J4" s="133"/>
      <c r="K4" s="133"/>
      <c r="L4" s="133"/>
      <c r="M4" s="75"/>
      <c r="N4" s="75"/>
      <c r="O4" s="75"/>
      <c r="P4" s="75"/>
      <c r="Q4" s="75"/>
      <c r="R4" s="75"/>
      <c r="S4" s="75"/>
      <c r="T4" s="75"/>
      <c r="U4" s="75"/>
      <c r="V4" s="75"/>
      <c r="W4" s="75"/>
      <c r="X4" s="75"/>
    </row>
    <row r="5" spans="1:38" ht="26.25">
      <c r="A5" s="134"/>
      <c r="B5" s="113"/>
      <c r="C5" s="113"/>
      <c r="D5" s="113"/>
      <c r="E5" s="113"/>
      <c r="F5" s="113"/>
      <c r="G5" s="110"/>
      <c r="H5" s="110"/>
      <c r="I5" s="110"/>
      <c r="J5" s="110"/>
      <c r="K5" s="110"/>
      <c r="L5" s="110"/>
      <c r="M5" s="111" t="s">
        <v>200</v>
      </c>
      <c r="N5" s="112"/>
      <c r="O5" s="112"/>
      <c r="P5" s="131" t="s">
        <v>201</v>
      </c>
      <c r="Q5" s="132"/>
      <c r="R5" s="132"/>
      <c r="S5" s="128" t="s">
        <v>202</v>
      </c>
      <c r="T5" s="129"/>
      <c r="U5" s="130"/>
      <c r="V5" s="94" t="s">
        <v>203</v>
      </c>
      <c r="W5" s="95"/>
      <c r="X5" s="96"/>
      <c r="AA5" s="110" t="s">
        <v>200</v>
      </c>
      <c r="AB5" s="110"/>
      <c r="AC5" s="110"/>
      <c r="AD5" s="110" t="s">
        <v>201</v>
      </c>
      <c r="AE5" s="110"/>
      <c r="AF5" s="110"/>
      <c r="AG5" s="110" t="s">
        <v>202</v>
      </c>
      <c r="AH5" s="110"/>
      <c r="AI5" s="110"/>
      <c r="AJ5" s="110" t="s">
        <v>203</v>
      </c>
      <c r="AK5" s="110"/>
      <c r="AL5" s="110"/>
    </row>
    <row r="6" spans="1:38" ht="26.25" customHeight="1">
      <c r="A6" s="113"/>
      <c r="B6" s="113"/>
      <c r="C6" s="113"/>
      <c r="D6" s="113"/>
      <c r="E6" s="113"/>
      <c r="F6" s="113"/>
      <c r="G6" s="114"/>
      <c r="H6" s="114"/>
      <c r="I6" s="114"/>
      <c r="J6" s="115"/>
      <c r="K6" s="115"/>
      <c r="L6" s="115"/>
      <c r="M6" s="117" t="s">
        <v>204</v>
      </c>
      <c r="N6" s="118"/>
      <c r="O6" s="119"/>
      <c r="P6" s="123">
        <v>5</v>
      </c>
      <c r="Q6" s="104"/>
      <c r="R6" s="124"/>
      <c r="S6" s="97" t="s">
        <v>205</v>
      </c>
      <c r="T6" s="98"/>
      <c r="U6" s="99"/>
      <c r="V6" s="103">
        <v>9</v>
      </c>
      <c r="W6" s="104"/>
      <c r="X6" s="105"/>
      <c r="AA6" s="114"/>
      <c r="AB6" s="114"/>
      <c r="AC6" s="114"/>
      <c r="AD6" s="115"/>
      <c r="AE6" s="115"/>
      <c r="AF6" s="115"/>
      <c r="AG6" s="116"/>
      <c r="AH6" s="116"/>
      <c r="AI6" s="116"/>
      <c r="AJ6" s="115"/>
      <c r="AK6" s="115"/>
      <c r="AL6" s="115"/>
    </row>
    <row r="7" spans="1:38" ht="15" customHeight="1">
      <c r="A7" s="75"/>
      <c r="B7" s="75"/>
      <c r="C7" s="75"/>
      <c r="D7" s="75"/>
      <c r="E7" s="75"/>
      <c r="F7" s="75"/>
      <c r="G7" s="114"/>
      <c r="H7" s="114"/>
      <c r="I7" s="114"/>
      <c r="J7" s="115"/>
      <c r="K7" s="115"/>
      <c r="L7" s="115"/>
      <c r="M7" s="120"/>
      <c r="N7" s="121"/>
      <c r="O7" s="122"/>
      <c r="P7" s="125"/>
      <c r="Q7" s="126"/>
      <c r="R7" s="127"/>
      <c r="S7" s="100"/>
      <c r="T7" s="101"/>
      <c r="U7" s="102"/>
      <c r="V7" s="106"/>
      <c r="W7" s="107"/>
      <c r="X7" s="108"/>
      <c r="AA7" s="114"/>
      <c r="AB7" s="114"/>
      <c r="AC7" s="114"/>
      <c r="AD7" s="115"/>
      <c r="AE7" s="115"/>
      <c r="AF7" s="115"/>
      <c r="AG7" s="116"/>
      <c r="AH7" s="116"/>
      <c r="AI7" s="116"/>
      <c r="AJ7" s="115"/>
      <c r="AK7" s="115"/>
      <c r="AL7" s="115"/>
    </row>
    <row r="8" spans="1:38">
      <c r="A8" s="75"/>
      <c r="B8" s="75"/>
      <c r="C8" s="75"/>
      <c r="D8" s="75"/>
      <c r="E8" s="75"/>
      <c r="F8" s="75"/>
      <c r="G8" s="75"/>
      <c r="H8" s="75"/>
      <c r="I8" s="75"/>
      <c r="J8" s="75"/>
      <c r="K8" s="75"/>
      <c r="L8" s="75"/>
      <c r="M8" s="75"/>
      <c r="N8" s="75"/>
      <c r="O8" s="75"/>
      <c r="P8" s="75"/>
      <c r="Q8" s="75"/>
      <c r="R8" s="75"/>
      <c r="S8" s="75"/>
      <c r="T8" s="75"/>
      <c r="U8" s="75"/>
      <c r="V8" s="75"/>
      <c r="W8" s="75"/>
      <c r="X8" s="75"/>
    </row>
    <row r="9" spans="1:38">
      <c r="A9" s="75"/>
      <c r="B9" s="75"/>
      <c r="C9" s="75"/>
      <c r="D9" s="75"/>
      <c r="E9" s="75"/>
      <c r="F9" s="75"/>
      <c r="G9" s="75"/>
      <c r="H9" s="75"/>
      <c r="I9" s="75"/>
      <c r="J9" s="75"/>
      <c r="K9" s="75"/>
      <c r="L9" s="75"/>
      <c r="M9" s="75"/>
      <c r="N9" s="75"/>
      <c r="O9" s="75"/>
      <c r="P9" s="75"/>
      <c r="Q9" s="75"/>
      <c r="R9" s="75"/>
      <c r="S9" s="75"/>
      <c r="T9" s="75"/>
      <c r="U9" s="75"/>
      <c r="V9" s="75"/>
      <c r="W9" s="75"/>
      <c r="X9" s="75"/>
    </row>
    <row r="10" spans="1:38">
      <c r="A10" s="75"/>
      <c r="B10" s="75"/>
      <c r="C10" s="75"/>
      <c r="D10" s="75"/>
      <c r="E10" s="75"/>
      <c r="F10" s="75"/>
      <c r="G10" s="75"/>
      <c r="H10" s="75"/>
      <c r="I10" s="75"/>
      <c r="J10" s="75"/>
      <c r="K10" s="75"/>
      <c r="L10" s="75"/>
      <c r="M10" s="75"/>
      <c r="N10" s="75"/>
      <c r="O10" s="75"/>
      <c r="P10" s="75"/>
      <c r="Q10" s="75"/>
      <c r="R10" s="75"/>
      <c r="S10" s="75"/>
      <c r="T10" s="75"/>
      <c r="U10" s="75"/>
      <c r="V10" s="75"/>
      <c r="W10" s="75"/>
      <c r="X10" s="75"/>
    </row>
    <row r="11" spans="1:38">
      <c r="A11" s="75"/>
      <c r="B11" s="75"/>
      <c r="C11" s="75"/>
      <c r="D11" s="75"/>
      <c r="E11" s="75"/>
      <c r="F11" s="75"/>
      <c r="G11" s="75"/>
      <c r="H11" s="75"/>
      <c r="I11" s="75"/>
      <c r="J11" s="75"/>
      <c r="K11" s="75"/>
      <c r="L11" s="75"/>
      <c r="M11" s="75"/>
      <c r="N11" s="75"/>
      <c r="O11" s="75"/>
      <c r="P11" s="75"/>
      <c r="Q11" s="75"/>
      <c r="R11" s="75"/>
      <c r="S11" s="75"/>
      <c r="T11" s="75"/>
      <c r="U11" s="75"/>
      <c r="V11" s="75"/>
      <c r="W11" s="75"/>
      <c r="X11" s="75"/>
    </row>
    <row r="12" spans="1:38">
      <c r="A12" s="75"/>
      <c r="B12" s="75"/>
      <c r="C12" s="75"/>
      <c r="D12" s="75"/>
      <c r="E12" s="75"/>
      <c r="F12" s="75"/>
      <c r="G12" s="75"/>
      <c r="H12" s="75"/>
      <c r="I12" s="75"/>
      <c r="J12" s="75"/>
      <c r="K12" s="75"/>
      <c r="L12" s="75"/>
      <c r="M12" s="75"/>
      <c r="N12" s="75"/>
      <c r="O12" s="75"/>
      <c r="P12" s="75"/>
      <c r="Q12" s="75"/>
      <c r="R12" s="75"/>
      <c r="S12" s="75"/>
      <c r="T12" s="75"/>
      <c r="U12" s="75"/>
      <c r="V12" s="75"/>
      <c r="W12" s="75"/>
      <c r="X12" s="75"/>
    </row>
    <row r="13" spans="1:38">
      <c r="A13" s="75"/>
      <c r="B13" s="75"/>
      <c r="C13" s="75"/>
      <c r="D13" s="75"/>
      <c r="E13" s="75"/>
      <c r="F13" s="75"/>
      <c r="G13" s="75"/>
      <c r="H13" s="75"/>
      <c r="I13" s="75"/>
      <c r="J13" s="75"/>
      <c r="K13" s="75"/>
      <c r="L13" s="75"/>
      <c r="M13" s="75"/>
      <c r="N13" s="75"/>
      <c r="O13" s="75"/>
      <c r="P13" s="75"/>
      <c r="Q13" s="75"/>
      <c r="R13" s="75"/>
      <c r="S13" s="75"/>
      <c r="T13" s="75"/>
      <c r="U13" s="75"/>
      <c r="V13" s="75"/>
      <c r="W13" s="75"/>
      <c r="X13" s="75"/>
    </row>
    <row r="14" spans="1:38">
      <c r="A14" s="75"/>
      <c r="B14" s="75"/>
      <c r="C14" s="75"/>
      <c r="D14" s="75"/>
      <c r="E14" s="75"/>
      <c r="F14" s="75"/>
      <c r="G14" s="75"/>
      <c r="H14" s="75"/>
      <c r="I14" s="75"/>
      <c r="J14" s="75"/>
      <c r="K14" s="75"/>
      <c r="L14" s="75"/>
      <c r="M14" s="75"/>
      <c r="N14" s="75"/>
      <c r="O14" s="75"/>
      <c r="P14" s="75"/>
      <c r="Q14" s="75"/>
      <c r="R14" s="75"/>
      <c r="S14" s="75"/>
      <c r="T14" s="75"/>
      <c r="U14" s="75"/>
      <c r="V14" s="75"/>
      <c r="W14" s="75"/>
      <c r="X14" s="75"/>
    </row>
    <row r="15" spans="1:38">
      <c r="A15" s="75"/>
      <c r="B15" s="75"/>
      <c r="C15" s="75"/>
      <c r="D15" s="75"/>
      <c r="E15" s="75"/>
      <c r="F15" s="75"/>
      <c r="G15" s="75"/>
      <c r="H15" s="75"/>
      <c r="I15" s="75"/>
      <c r="J15" s="75"/>
      <c r="K15" s="75"/>
      <c r="L15" s="75"/>
      <c r="M15" s="75"/>
      <c r="N15" s="75"/>
      <c r="O15" s="75"/>
      <c r="P15" s="75"/>
      <c r="Q15" s="75"/>
      <c r="R15" s="75"/>
      <c r="S15" s="75"/>
      <c r="T15" s="75"/>
      <c r="U15" s="75"/>
      <c r="V15" s="75"/>
      <c r="W15" s="75"/>
      <c r="X15" s="75"/>
    </row>
    <row r="16" spans="1:38">
      <c r="A16" s="75"/>
      <c r="B16" s="75"/>
      <c r="C16" s="75"/>
      <c r="D16" s="75"/>
      <c r="E16" s="75"/>
      <c r="F16" s="75"/>
      <c r="G16" s="75"/>
      <c r="H16" s="75"/>
      <c r="I16" s="75"/>
      <c r="J16" s="75"/>
      <c r="K16" s="75"/>
      <c r="L16" s="75"/>
      <c r="M16" s="75"/>
      <c r="N16" s="75"/>
      <c r="O16" s="75"/>
      <c r="P16" s="75"/>
      <c r="Q16" s="75"/>
      <c r="R16" s="75"/>
      <c r="S16" s="75"/>
      <c r="T16" s="75"/>
      <c r="U16" s="75"/>
      <c r="V16" s="75"/>
      <c r="W16" s="75"/>
      <c r="X16" s="75"/>
    </row>
    <row r="17" spans="1:24">
      <c r="A17" s="75"/>
      <c r="B17" s="75"/>
      <c r="C17" s="75"/>
      <c r="D17" s="75"/>
      <c r="E17" s="75"/>
      <c r="F17" s="75"/>
      <c r="G17" s="75"/>
      <c r="H17" s="75"/>
      <c r="I17" s="75"/>
      <c r="J17" s="75"/>
      <c r="K17" s="75"/>
      <c r="L17" s="75"/>
      <c r="M17" s="75"/>
      <c r="N17" s="75"/>
      <c r="O17" s="75"/>
      <c r="P17" s="75"/>
      <c r="Q17" s="75"/>
      <c r="R17" s="75"/>
      <c r="S17" s="75"/>
      <c r="T17" s="75"/>
      <c r="U17" s="75"/>
      <c r="V17" s="75"/>
      <c r="W17" s="75"/>
      <c r="X17" s="75"/>
    </row>
    <row r="18" spans="1:24">
      <c r="A18" s="75"/>
      <c r="B18" s="75"/>
      <c r="C18" s="75"/>
      <c r="D18" s="75"/>
      <c r="E18" s="75"/>
      <c r="F18" s="75"/>
      <c r="G18" s="75"/>
      <c r="H18" s="75"/>
      <c r="I18" s="75"/>
      <c r="J18" s="75"/>
      <c r="K18" s="75"/>
      <c r="L18" s="75"/>
      <c r="M18" s="75"/>
      <c r="N18" s="75"/>
      <c r="O18" s="75"/>
      <c r="P18" s="75"/>
      <c r="Q18" s="75"/>
      <c r="R18" s="75"/>
      <c r="S18" s="75"/>
      <c r="T18" s="75"/>
      <c r="U18" s="75"/>
      <c r="V18" s="75"/>
      <c r="W18" s="75"/>
      <c r="X18" s="75"/>
    </row>
    <row r="19" spans="1:24">
      <c r="A19" s="75"/>
      <c r="B19" s="75"/>
      <c r="C19" s="75"/>
      <c r="D19" s="75"/>
      <c r="E19" s="75"/>
      <c r="F19" s="75"/>
      <c r="G19" s="75"/>
      <c r="H19" s="75"/>
      <c r="I19" s="75"/>
      <c r="J19" s="75"/>
      <c r="K19" s="75"/>
      <c r="L19" s="75"/>
      <c r="M19" s="75"/>
      <c r="N19" s="75"/>
      <c r="O19" s="75"/>
      <c r="P19" s="75"/>
      <c r="Q19" s="75"/>
      <c r="R19" s="75"/>
      <c r="S19" s="75"/>
      <c r="T19" s="75"/>
      <c r="U19" s="75"/>
      <c r="V19" s="75"/>
      <c r="W19" s="75"/>
      <c r="X19" s="75"/>
    </row>
    <row r="20" spans="1:24">
      <c r="A20" s="75"/>
      <c r="B20" s="75"/>
      <c r="C20" s="75"/>
      <c r="D20" s="75"/>
      <c r="E20" s="75"/>
      <c r="F20" s="75"/>
      <c r="G20" s="75"/>
      <c r="H20" s="75"/>
      <c r="I20" s="75"/>
      <c r="J20" s="75"/>
      <c r="K20" s="75"/>
      <c r="L20" s="75"/>
      <c r="M20" s="75"/>
      <c r="N20" s="75"/>
      <c r="O20" s="75"/>
      <c r="P20" s="75"/>
      <c r="Q20" s="75"/>
      <c r="R20" s="75"/>
      <c r="S20" s="75"/>
      <c r="T20" s="75"/>
      <c r="U20" s="75"/>
      <c r="V20" s="75"/>
      <c r="W20" s="75"/>
      <c r="X20" s="75"/>
    </row>
    <row r="21" spans="1:24">
      <c r="A21" s="75"/>
      <c r="B21" s="75"/>
      <c r="C21" s="75"/>
      <c r="D21" s="75"/>
      <c r="E21" s="75"/>
      <c r="F21" s="75"/>
      <c r="G21" s="75"/>
      <c r="H21" s="75"/>
      <c r="I21" s="75"/>
      <c r="J21" s="75"/>
      <c r="K21" s="75"/>
      <c r="L21" s="75"/>
      <c r="M21" s="75"/>
      <c r="N21" s="75"/>
      <c r="O21" s="75"/>
      <c r="P21" s="75"/>
      <c r="Q21" s="75"/>
      <c r="R21" s="75"/>
      <c r="S21" s="75"/>
      <c r="T21" s="75"/>
      <c r="U21" s="75"/>
      <c r="V21" s="75"/>
      <c r="W21" s="75"/>
      <c r="X21" s="75"/>
    </row>
    <row r="22" spans="1:24">
      <c r="A22" s="75"/>
      <c r="B22" s="75"/>
      <c r="C22" s="75"/>
      <c r="D22" s="75"/>
      <c r="E22" s="75"/>
      <c r="F22" s="75"/>
      <c r="G22" s="75"/>
      <c r="H22" s="75"/>
      <c r="I22" s="75"/>
      <c r="J22" s="75"/>
      <c r="K22" s="75"/>
      <c r="L22" s="75"/>
      <c r="M22" s="75"/>
      <c r="N22" s="75"/>
      <c r="O22" s="75"/>
      <c r="P22" s="75"/>
      <c r="Q22" s="75"/>
      <c r="R22" s="75"/>
      <c r="S22" s="75"/>
      <c r="T22" s="75"/>
      <c r="U22" s="75"/>
      <c r="V22" s="75"/>
      <c r="W22" s="75"/>
      <c r="X22" s="75"/>
    </row>
    <row r="25" spans="1:24">
      <c r="H25" s="133"/>
      <c r="I25" s="133"/>
      <c r="J25" s="133"/>
      <c r="K25" s="133"/>
      <c r="L25" s="133"/>
      <c r="M25" s="133"/>
      <c r="N25" s="133"/>
      <c r="O25" s="133"/>
      <c r="P25" s="133"/>
      <c r="Q25" s="133"/>
      <c r="R25" s="133"/>
      <c r="S25" s="133"/>
    </row>
    <row r="26" spans="1:24" ht="26.25">
      <c r="H26" s="134"/>
      <c r="I26" s="113"/>
      <c r="J26" s="113"/>
      <c r="K26" s="113"/>
      <c r="L26" s="113"/>
      <c r="M26" s="113"/>
      <c r="N26" s="135"/>
      <c r="O26" s="113"/>
      <c r="P26" s="113"/>
      <c r="Q26" s="113"/>
      <c r="R26" s="113"/>
      <c r="S26" s="113"/>
    </row>
    <row r="27" spans="1:24" ht="26.25">
      <c r="H27" s="113"/>
      <c r="I27" s="113"/>
      <c r="J27" s="113"/>
      <c r="K27" s="113"/>
      <c r="L27" s="113"/>
      <c r="M27" s="113"/>
      <c r="N27" s="113"/>
      <c r="O27" s="113"/>
      <c r="P27" s="113"/>
      <c r="Q27" s="113"/>
      <c r="R27" s="113"/>
      <c r="S27" s="113"/>
    </row>
    <row r="28" spans="1:24" ht="26.25">
      <c r="H28" s="113"/>
      <c r="I28" s="113"/>
      <c r="J28" s="113"/>
      <c r="K28" s="113"/>
      <c r="L28" s="113"/>
      <c r="M28" s="113"/>
      <c r="N28" s="113"/>
      <c r="O28" s="113"/>
      <c r="P28" s="113"/>
      <c r="Q28" s="113"/>
      <c r="R28" s="113"/>
      <c r="S28" s="113"/>
    </row>
  </sheetData>
  <mergeCells count="46">
    <mergeCell ref="H25:J25"/>
    <mergeCell ref="K25:M25"/>
    <mergeCell ref="N25:P25"/>
    <mergeCell ref="Q25:S25"/>
    <mergeCell ref="H26:J26"/>
    <mergeCell ref="K26:M26"/>
    <mergeCell ref="N26:P26"/>
    <mergeCell ref="Q26:S26"/>
    <mergeCell ref="H27:J27"/>
    <mergeCell ref="K27:M27"/>
    <mergeCell ref="N27:P27"/>
    <mergeCell ref="Q27:S27"/>
    <mergeCell ref="H28:J28"/>
    <mergeCell ref="K28:M28"/>
    <mergeCell ref="N28:P28"/>
    <mergeCell ref="Q28:S28"/>
    <mergeCell ref="A2:V2"/>
    <mergeCell ref="G6:I7"/>
    <mergeCell ref="J6:L7"/>
    <mergeCell ref="M6:O7"/>
    <mergeCell ref="P6:R7"/>
    <mergeCell ref="S5:U5"/>
    <mergeCell ref="P5:R5"/>
    <mergeCell ref="D6:F6"/>
    <mergeCell ref="A4:C4"/>
    <mergeCell ref="D4:F4"/>
    <mergeCell ref="G4:I4"/>
    <mergeCell ref="J4:L4"/>
    <mergeCell ref="A5:C5"/>
    <mergeCell ref="D5:F5"/>
    <mergeCell ref="G5:I5"/>
    <mergeCell ref="J5:L5"/>
    <mergeCell ref="AD5:AF5"/>
    <mergeCell ref="AG5:AI5"/>
    <mergeCell ref="AJ5:AL5"/>
    <mergeCell ref="AA6:AC7"/>
    <mergeCell ref="AD6:AF7"/>
    <mergeCell ref="AG6:AI7"/>
    <mergeCell ref="AJ6:AL7"/>
    <mergeCell ref="V5:X5"/>
    <mergeCell ref="S6:U7"/>
    <mergeCell ref="V6:X7"/>
    <mergeCell ref="A3:V3"/>
    <mergeCell ref="AA5:AC5"/>
    <mergeCell ref="M5:O5"/>
    <mergeCell ref="A6:C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E336F-46A7-41F9-9D89-B0F906697FF4}">
  <dimension ref="A1:BZ81"/>
  <sheetViews>
    <sheetView topLeftCell="Q1" workbookViewId="0">
      <selection activeCell="BT41" sqref="BT41"/>
    </sheetView>
  </sheetViews>
  <sheetFormatPr defaultRowHeight="15"/>
  <cols>
    <col min="1" max="1" width="12.7109375" bestFit="1" customWidth="1"/>
    <col min="2" max="2" width="17.28515625" customWidth="1"/>
    <col min="3" max="3" width="18.42578125" bestFit="1" customWidth="1"/>
    <col min="4" max="4" width="9.7109375" customWidth="1"/>
    <col min="5" max="5" width="14.42578125" customWidth="1"/>
    <col min="6" max="6" width="16.5703125" customWidth="1"/>
    <col min="7" max="7" width="18.140625" customWidth="1"/>
    <col min="8" max="8" width="16.140625" customWidth="1"/>
    <col min="9" max="9" width="17" customWidth="1"/>
    <col min="10" max="10" width="20" customWidth="1"/>
    <col min="11" max="11" width="13.42578125" customWidth="1"/>
    <col min="12" max="12" width="17.5703125" customWidth="1"/>
    <col min="13" max="13" width="18" bestFit="1" customWidth="1"/>
    <col min="14" max="14" width="15.140625" bestFit="1" customWidth="1"/>
    <col min="15" max="15" width="16.140625" bestFit="1" customWidth="1"/>
    <col min="16" max="16" width="15.7109375" bestFit="1" customWidth="1"/>
    <col min="17" max="17" width="33.28515625" style="7" bestFit="1" customWidth="1"/>
    <col min="18" max="18" width="17.5703125" bestFit="1" customWidth="1"/>
    <col min="19" max="19" width="12.42578125" bestFit="1" customWidth="1"/>
    <col min="20" max="20" width="17.42578125" bestFit="1" customWidth="1"/>
    <col min="21" max="21" width="21.28515625" bestFit="1" customWidth="1"/>
    <col min="22" max="22" width="14.28515625" bestFit="1" customWidth="1"/>
    <col min="23" max="23" width="22.7109375" bestFit="1" customWidth="1"/>
    <col min="24" max="24" width="21.140625" bestFit="1" customWidth="1"/>
    <col min="25" max="25" width="12.140625" customWidth="1"/>
    <col min="26" max="26" width="30.85546875" bestFit="1" customWidth="1"/>
    <col min="27" max="27" width="13.140625" bestFit="1" customWidth="1"/>
    <col min="28" max="28" width="16.42578125" bestFit="1" customWidth="1"/>
    <col min="29" max="29" width="21.140625" bestFit="1" customWidth="1"/>
    <col min="30" max="30" width="13.140625" bestFit="1" customWidth="1"/>
    <col min="31" max="31" width="17.140625" customWidth="1"/>
    <col min="33" max="33" width="9.85546875" customWidth="1"/>
    <col min="34" max="34" width="7.7109375" customWidth="1"/>
    <col min="35" max="35" width="5.140625" customWidth="1"/>
    <col min="36" max="36" width="4.28515625" customWidth="1"/>
    <col min="37" max="37" width="11.7109375" bestFit="1" customWidth="1"/>
    <col min="38" max="38" width="6.42578125" bestFit="1" customWidth="1"/>
    <col min="39" max="40" width="2.42578125" customWidth="1"/>
    <col min="41" max="41" width="14.28515625" customWidth="1"/>
    <col min="42" max="42" width="8.140625" customWidth="1"/>
    <col min="43" max="43" width="5.7109375" customWidth="1"/>
    <col min="44" max="44" width="9.7109375" customWidth="1"/>
    <col min="45" max="52" width="2.42578125" customWidth="1"/>
    <col min="53" max="53" width="5.5703125" customWidth="1"/>
    <col min="54" max="54" width="5.42578125" customWidth="1"/>
    <col min="55" max="55" width="7.7109375" hidden="1" customWidth="1"/>
    <col min="56" max="56" width="6.42578125" customWidth="1"/>
    <col min="57" max="57" width="5.42578125" customWidth="1"/>
    <col min="58" max="58" width="2.5703125" customWidth="1"/>
    <col min="59" max="59" width="5.7109375" customWidth="1"/>
    <col min="60" max="60" width="8.85546875" customWidth="1"/>
    <col min="61" max="61" width="2.28515625" customWidth="1"/>
    <col min="62" max="62" width="9.5703125" customWidth="1"/>
    <col min="63" max="63" width="10" customWidth="1"/>
    <col min="64" max="64" width="2.28515625" customWidth="1"/>
    <col min="65" max="65" width="8.42578125" customWidth="1"/>
    <col min="66" max="66" width="5.42578125" customWidth="1"/>
    <col min="68" max="68" width="13.140625" customWidth="1"/>
    <col min="69" max="69" width="8.85546875" customWidth="1"/>
    <col min="70" max="70" width="2.7109375" customWidth="1"/>
    <col min="71" max="71" width="15.42578125" bestFit="1" customWidth="1"/>
    <col min="72" max="72" width="8.85546875" customWidth="1"/>
    <col min="73" max="73" width="2.7109375" customWidth="1"/>
    <col min="74" max="74" width="9.28515625" customWidth="1"/>
    <col min="75" max="75" width="8.85546875" customWidth="1"/>
    <col min="76" max="76" width="2.7109375" customWidth="1"/>
    <col min="77" max="77" width="9.5703125" customWidth="1"/>
    <col min="78" max="78" width="8.85546875" customWidth="1"/>
  </cols>
  <sheetData>
    <row r="1" spans="1:66" s="64" customFormat="1">
      <c r="A1" s="60" t="s">
        <v>0</v>
      </c>
      <c r="B1" s="61" t="s">
        <v>1</v>
      </c>
      <c r="C1" s="61" t="s">
        <v>148</v>
      </c>
      <c r="D1" s="62" t="s">
        <v>149</v>
      </c>
      <c r="E1" s="61" t="s">
        <v>5</v>
      </c>
      <c r="F1" s="61" t="s">
        <v>6</v>
      </c>
      <c r="G1" s="62" t="s">
        <v>7</v>
      </c>
      <c r="H1" s="62" t="s">
        <v>169</v>
      </c>
      <c r="I1" s="62" t="s">
        <v>9</v>
      </c>
      <c r="J1" s="62" t="s">
        <v>10</v>
      </c>
      <c r="K1" s="62" t="s">
        <v>11</v>
      </c>
      <c r="L1" s="61" t="s">
        <v>12</v>
      </c>
      <c r="M1" s="61" t="s">
        <v>13</v>
      </c>
      <c r="N1" s="61" t="s">
        <v>14</v>
      </c>
      <c r="O1" s="61" t="s">
        <v>15</v>
      </c>
      <c r="P1" s="61" t="s">
        <v>16</v>
      </c>
      <c r="Q1" s="61" t="s">
        <v>17</v>
      </c>
      <c r="R1" s="61" t="s">
        <v>18</v>
      </c>
      <c r="S1" s="61" t="s">
        <v>19</v>
      </c>
      <c r="T1" s="61" t="s">
        <v>20</v>
      </c>
      <c r="U1" s="61" t="s">
        <v>21</v>
      </c>
      <c r="V1" s="61" t="s">
        <v>22</v>
      </c>
      <c r="W1" s="61" t="s">
        <v>23</v>
      </c>
      <c r="X1" s="61" t="s">
        <v>24</v>
      </c>
      <c r="Y1" s="61" t="s">
        <v>25</v>
      </c>
      <c r="Z1" s="61" t="s">
        <v>26</v>
      </c>
      <c r="AA1" s="61" t="s">
        <v>153</v>
      </c>
      <c r="AB1" s="61" t="s">
        <v>154</v>
      </c>
      <c r="AC1" s="61" t="s">
        <v>163</v>
      </c>
      <c r="AD1" s="61" t="s">
        <v>164</v>
      </c>
      <c r="AE1" s="63" t="s">
        <v>165</v>
      </c>
      <c r="AG1" s="173" t="s">
        <v>206</v>
      </c>
      <c r="AH1" s="173"/>
      <c r="AI1" s="173"/>
      <c r="AJ1" s="173"/>
      <c r="AK1" s="173"/>
      <c r="AL1" s="173"/>
      <c r="AM1" s="173"/>
      <c r="AN1" s="173"/>
      <c r="AO1" s="173"/>
      <c r="AP1" s="173"/>
      <c r="AQ1" s="173"/>
      <c r="AR1" s="173"/>
      <c r="AS1" s="173"/>
      <c r="AT1" s="173"/>
      <c r="AU1" s="173"/>
      <c r="AV1" s="173"/>
      <c r="AW1" s="173"/>
      <c r="AX1" s="173"/>
      <c r="AY1" s="173"/>
      <c r="AZ1" s="173"/>
    </row>
    <row r="2" spans="1:66">
      <c r="A2" s="20" t="s">
        <v>27</v>
      </c>
      <c r="B2" s="11" t="s">
        <v>170</v>
      </c>
      <c r="C2" s="11" t="s">
        <v>151</v>
      </c>
      <c r="D2" s="11">
        <v>39</v>
      </c>
      <c r="E2" s="12">
        <v>44681</v>
      </c>
      <c r="F2" s="12" t="s">
        <v>32</v>
      </c>
      <c r="G2" s="11">
        <v>5</v>
      </c>
      <c r="H2" s="11">
        <v>5</v>
      </c>
      <c r="I2" s="11" t="e" vm="1">
        <v>#VALUE!</v>
      </c>
      <c r="J2" s="11" t="s">
        <v>33</v>
      </c>
      <c r="K2" s="11" t="s">
        <v>34</v>
      </c>
      <c r="L2" s="11" t="s">
        <v>35</v>
      </c>
      <c r="M2" s="11" t="s">
        <v>36</v>
      </c>
      <c r="N2" s="11" t="s">
        <v>37</v>
      </c>
      <c r="O2" s="12">
        <v>39270</v>
      </c>
      <c r="P2" s="11" t="s">
        <v>38</v>
      </c>
      <c r="Q2" s="25" t="s">
        <v>39</v>
      </c>
      <c r="R2" s="11">
        <v>8976543210</v>
      </c>
      <c r="S2" s="11" t="s">
        <v>40</v>
      </c>
      <c r="T2" s="11" t="s">
        <v>41</v>
      </c>
      <c r="U2" s="11" t="s">
        <v>42</v>
      </c>
      <c r="V2" s="13">
        <v>28000</v>
      </c>
      <c r="W2" s="13">
        <v>2835</v>
      </c>
      <c r="X2" s="13">
        <v>2007</v>
      </c>
      <c r="Y2" s="13">
        <v>2185</v>
      </c>
      <c r="Z2" s="13">
        <v>12287</v>
      </c>
      <c r="AA2" s="14">
        <f>SUM(V2,W2,X2,Y2,Z2)</f>
        <v>47314</v>
      </c>
      <c r="AB2" s="22">
        <f>AA2*12</f>
        <v>567768</v>
      </c>
      <c r="AC2" s="34" t="str">
        <f>IF(Table13465[[#This Row],[Performance_Rating]]&gt;5,"YES","NO")</f>
        <v>NO</v>
      </c>
      <c r="AD2" s="36">
        <f ca="1">YEARFRAC(Table13465[[#This Row],[Joining_Date]],TODAY())</f>
        <v>4.2416666666666663</v>
      </c>
      <c r="AE2" s="11" t="str">
        <f ca="1">IF(Table13465[[#This Row],[Experience]]&gt;3,"ELIGIBLE","NOT ELIGIBLE")</f>
        <v>ELIGIBLE</v>
      </c>
      <c r="AG2" s="75"/>
      <c r="AH2" s="75"/>
      <c r="AI2" s="75"/>
      <c r="AJ2" s="75"/>
      <c r="AK2" s="75"/>
      <c r="AL2" s="75"/>
      <c r="AM2" s="75"/>
      <c r="AN2" s="75"/>
      <c r="AO2" s="75"/>
      <c r="AP2" s="75"/>
      <c r="AQ2" s="75"/>
      <c r="AR2" s="75"/>
      <c r="AS2" s="75"/>
      <c r="AT2" s="75"/>
      <c r="AU2" s="75"/>
      <c r="AV2" s="75"/>
      <c r="AW2" s="75"/>
      <c r="AX2" s="75"/>
      <c r="AY2" s="75"/>
      <c r="AZ2" s="75"/>
      <c r="BA2" s="83" t="s">
        <v>207</v>
      </c>
      <c r="BB2" s="83" t="s">
        <v>208</v>
      </c>
      <c r="BC2" s="83"/>
      <c r="BD2" s="83" t="s">
        <v>148</v>
      </c>
      <c r="BE2" s="83" t="s">
        <v>208</v>
      </c>
      <c r="BF2" s="83"/>
      <c r="BG2" s="83" t="s">
        <v>209</v>
      </c>
      <c r="BH2" s="83" t="s">
        <v>210</v>
      </c>
      <c r="BI2" s="83"/>
      <c r="BJ2" s="83" t="s">
        <v>211</v>
      </c>
      <c r="BK2" s="83" t="s">
        <v>212</v>
      </c>
      <c r="BL2" s="83"/>
      <c r="BM2" s="83" t="s">
        <v>213</v>
      </c>
      <c r="BN2" s="83" t="s">
        <v>208</v>
      </c>
    </row>
    <row r="3" spans="1:66">
      <c r="A3" s="20" t="s">
        <v>43</v>
      </c>
      <c r="B3" s="10" t="s">
        <v>44</v>
      </c>
      <c r="C3" s="11" t="s">
        <v>151</v>
      </c>
      <c r="D3" s="11">
        <v>34</v>
      </c>
      <c r="E3" s="12">
        <v>45403</v>
      </c>
      <c r="F3" s="12" t="s">
        <v>48</v>
      </c>
      <c r="G3" s="11">
        <v>10</v>
      </c>
      <c r="H3" s="11">
        <v>5</v>
      </c>
      <c r="I3" s="11" t="e" vm="2">
        <v>#VALUE!</v>
      </c>
      <c r="J3" s="11" t="s">
        <v>33</v>
      </c>
      <c r="K3" s="11" t="s">
        <v>34</v>
      </c>
      <c r="L3" s="11" t="s">
        <v>49</v>
      </c>
      <c r="M3" s="11" t="s">
        <v>50</v>
      </c>
      <c r="N3" s="11" t="s">
        <v>51</v>
      </c>
      <c r="O3" s="12">
        <v>41114</v>
      </c>
      <c r="P3" s="11" t="s">
        <v>52</v>
      </c>
      <c r="Q3" s="25" t="s">
        <v>53</v>
      </c>
      <c r="R3" s="11">
        <v>9854362109</v>
      </c>
      <c r="S3" s="11" t="s">
        <v>54</v>
      </c>
      <c r="T3" s="11" t="s">
        <v>55</v>
      </c>
      <c r="U3" s="11" t="s">
        <v>56</v>
      </c>
      <c r="V3" s="13">
        <v>33000</v>
      </c>
      <c r="W3" s="13">
        <v>3133</v>
      </c>
      <c r="X3" s="13">
        <v>1870</v>
      </c>
      <c r="Y3" s="13">
        <v>1802</v>
      </c>
      <c r="Z3" s="13">
        <v>9740</v>
      </c>
      <c r="AA3" s="14">
        <f t="shared" ref="AA3:AA21" si="0">SUM(V3,W3,X3,Y3,Z3)</f>
        <v>49545</v>
      </c>
      <c r="AB3" s="22">
        <f t="shared" ref="AB3:AB21" si="1">AA3*12</f>
        <v>594540</v>
      </c>
      <c r="AC3" s="13" t="str">
        <f>IF(Table13465[[#This Row],[Performance_Rating]]&gt;5,"YES","NO")</f>
        <v>YES</v>
      </c>
      <c r="AD3" s="37">
        <f ca="1">YEARFRAC(Table13465[[#This Row],[Joining_Date]],TODAY())</f>
        <v>2.2666666666666666</v>
      </c>
      <c r="AE3" s="11" t="str">
        <f ca="1">IF(Table13465[[#This Row],[Experience]]&gt;3,"ELIGIBLE","NOT ELIGIBLE")</f>
        <v>NOT ELIGIBLE</v>
      </c>
      <c r="AG3" s="75" t="s">
        <v>214</v>
      </c>
      <c r="AH3" s="75"/>
      <c r="AI3" s="75"/>
      <c r="AJ3" s="75" t="s">
        <v>215</v>
      </c>
      <c r="AK3" s="75"/>
      <c r="AL3" s="75"/>
      <c r="AM3" s="75" t="s">
        <v>216</v>
      </c>
      <c r="AN3" s="75"/>
      <c r="AO3" s="75"/>
      <c r="AP3" s="75" t="s">
        <v>217</v>
      </c>
      <c r="AQ3" s="75"/>
      <c r="AR3" s="75"/>
      <c r="AS3" s="75" t="s">
        <v>218</v>
      </c>
      <c r="AT3" s="75"/>
      <c r="AU3" s="75"/>
      <c r="AV3" s="75"/>
      <c r="AW3" s="75"/>
      <c r="AX3" s="75"/>
      <c r="AY3" s="75"/>
      <c r="AZ3" s="75"/>
      <c r="BA3" s="82" t="s">
        <v>33</v>
      </c>
      <c r="BB3" s="82">
        <f>COUNTIF(J:J,"Active")</f>
        <v>20</v>
      </c>
      <c r="BC3" s="82"/>
      <c r="BD3" s="82" t="s">
        <v>151</v>
      </c>
      <c r="BE3" s="82">
        <f>COUNTIF(C:C,"Male")</f>
        <v>9</v>
      </c>
      <c r="BF3" s="82"/>
      <c r="BG3" s="82">
        <v>1</v>
      </c>
      <c r="BH3" s="82">
        <f>COUNTIF(G:G,1)</f>
        <v>0</v>
      </c>
      <c r="BI3" s="82"/>
      <c r="BJ3" s="82" t="s">
        <v>219</v>
      </c>
      <c r="BK3" s="84">
        <f>ROUND(AVERAGE(V:V),0)</f>
        <v>38450</v>
      </c>
      <c r="BL3" s="82"/>
      <c r="BM3" s="82" t="s">
        <v>220</v>
      </c>
      <c r="BN3" s="82">
        <f ca="1">COUNTIF(AE:AE,"ELIGIBLE")</f>
        <v>9</v>
      </c>
    </row>
    <row r="4" spans="1:66">
      <c r="A4" s="20" t="s">
        <v>57</v>
      </c>
      <c r="B4" s="11" t="s">
        <v>58</v>
      </c>
      <c r="C4" s="11" t="s">
        <v>152</v>
      </c>
      <c r="D4" s="11">
        <v>27</v>
      </c>
      <c r="E4" s="12">
        <v>45595</v>
      </c>
      <c r="F4" s="12" t="s">
        <v>62</v>
      </c>
      <c r="G4" s="11">
        <v>5</v>
      </c>
      <c r="H4" s="11">
        <v>8</v>
      </c>
      <c r="I4" s="11" t="e" vm="1">
        <v>#VALUE!</v>
      </c>
      <c r="J4" s="11" t="s">
        <v>33</v>
      </c>
      <c r="K4" s="11" t="s">
        <v>63</v>
      </c>
      <c r="L4" s="11" t="s">
        <v>64</v>
      </c>
      <c r="M4" s="11" t="s">
        <v>65</v>
      </c>
      <c r="N4" s="11" t="s">
        <v>66</v>
      </c>
      <c r="O4" s="12">
        <v>40810</v>
      </c>
      <c r="P4" s="11" t="s">
        <v>67</v>
      </c>
      <c r="Q4" s="25" t="s">
        <v>68</v>
      </c>
      <c r="R4" s="11">
        <v>9239456120</v>
      </c>
      <c r="S4" s="11" t="s">
        <v>69</v>
      </c>
      <c r="T4" s="11" t="s">
        <v>70</v>
      </c>
      <c r="U4" s="11" t="s">
        <v>42</v>
      </c>
      <c r="V4" s="13">
        <v>38000</v>
      </c>
      <c r="W4" s="13">
        <v>4320</v>
      </c>
      <c r="X4" s="13">
        <v>2147</v>
      </c>
      <c r="Y4" s="13">
        <v>2970</v>
      </c>
      <c r="Z4" s="13">
        <v>11982</v>
      </c>
      <c r="AA4" s="14">
        <f t="shared" si="0"/>
        <v>59419</v>
      </c>
      <c r="AB4" s="22">
        <f>AA4*12</f>
        <v>713028</v>
      </c>
      <c r="AC4" s="13" t="str">
        <f>IF(Table13465[[#This Row],[Performance_Rating]]&gt;5,"YES","NO")</f>
        <v>NO</v>
      </c>
      <c r="AD4" s="37">
        <f ca="1">YEARFRAC(Table13465[[#This Row],[Joining_Date]],TODAY())</f>
        <v>1.7416666666666667</v>
      </c>
      <c r="AE4" s="11" t="str">
        <f ca="1">IF(Table13465[[#This Row],[Experience]]&gt;3,"ELIGIBLE","NOT ELIGIBLE")</f>
        <v>NOT ELIGIBLE</v>
      </c>
      <c r="AG4" s="75">
        <f>COUNTA(A:A)-1</f>
        <v>20</v>
      </c>
      <c r="AH4" s="75"/>
      <c r="AI4" s="75"/>
      <c r="AJ4" s="75">
        <f>COUNTIF(J:J,"Active")</f>
        <v>20</v>
      </c>
      <c r="AK4" s="75"/>
      <c r="AL4" s="75"/>
      <c r="AM4" s="75">
        <f>ROUND(AVERAGE(G:G),1)</f>
        <v>5.3</v>
      </c>
      <c r="AN4" s="75"/>
      <c r="AO4" s="75"/>
      <c r="AP4" s="76" t="e">
        <f>ROUND(AVERAGE(AA:AA),0)</f>
        <v>#REF!</v>
      </c>
      <c r="AQ4" s="75"/>
      <c r="AR4" s="75"/>
      <c r="AS4" s="75">
        <f ca="1">COUNTIF(AE:AE,"ELIGIBLE")</f>
        <v>9</v>
      </c>
      <c r="AT4" s="75"/>
      <c r="AU4" s="75"/>
      <c r="AV4" s="75"/>
      <c r="AW4" s="75"/>
      <c r="AX4" s="75"/>
      <c r="AY4" s="75"/>
      <c r="AZ4" s="75"/>
      <c r="BA4" s="82" t="s">
        <v>221</v>
      </c>
      <c r="BB4" s="82">
        <f>COUNTA(A:A)-1-BB3</f>
        <v>0</v>
      </c>
      <c r="BC4" s="82"/>
      <c r="BD4" s="82" t="s">
        <v>152</v>
      </c>
      <c r="BE4" s="82">
        <f>COUNTIF(C:C,"Female")</f>
        <v>11</v>
      </c>
      <c r="BF4" s="82"/>
      <c r="BG4" s="82">
        <v>2</v>
      </c>
      <c r="BH4" s="82">
        <f>COUNTIF(G:G,2)</f>
        <v>4</v>
      </c>
      <c r="BI4" s="82"/>
      <c r="BJ4" s="82" t="s">
        <v>222</v>
      </c>
      <c r="BK4" s="84">
        <f>ROUND(AVERAGE(W:W),0)</f>
        <v>4161</v>
      </c>
      <c r="BL4" s="82"/>
      <c r="BM4" s="82" t="s">
        <v>223</v>
      </c>
      <c r="BN4" s="82">
        <f ca="1">COUNTIF(AE:AE,"NOT ELIGIBLE")</f>
        <v>11</v>
      </c>
    </row>
    <row r="5" spans="1:66">
      <c r="A5" s="20" t="s">
        <v>71</v>
      </c>
      <c r="B5" s="10" t="s">
        <v>72</v>
      </c>
      <c r="C5" s="11" t="s">
        <v>151</v>
      </c>
      <c r="D5" s="11">
        <v>40</v>
      </c>
      <c r="E5" s="12">
        <v>45116</v>
      </c>
      <c r="F5" s="12" t="s">
        <v>76</v>
      </c>
      <c r="G5" s="11">
        <v>3</v>
      </c>
      <c r="H5" s="11">
        <v>5</v>
      </c>
      <c r="I5" s="11" t="e" vm="3">
        <v>#VALUE!</v>
      </c>
      <c r="J5" s="11" t="s">
        <v>33</v>
      </c>
      <c r="K5" s="11" t="s">
        <v>34</v>
      </c>
      <c r="L5" s="11" t="s">
        <v>35</v>
      </c>
      <c r="M5" s="11" t="s">
        <v>36</v>
      </c>
      <c r="N5" s="11" t="s">
        <v>51</v>
      </c>
      <c r="O5" s="12">
        <v>38238</v>
      </c>
      <c r="P5" s="11" t="s">
        <v>77</v>
      </c>
      <c r="Q5" s="25" t="s">
        <v>78</v>
      </c>
      <c r="R5" s="11">
        <v>8142736904</v>
      </c>
      <c r="S5" s="11" t="s">
        <v>40</v>
      </c>
      <c r="T5" s="11" t="s">
        <v>41</v>
      </c>
      <c r="U5" s="11" t="s">
        <v>56</v>
      </c>
      <c r="V5" s="13">
        <v>30000</v>
      </c>
      <c r="W5" s="13">
        <v>2656</v>
      </c>
      <c r="X5" s="13">
        <v>1794</v>
      </c>
      <c r="Y5" s="13">
        <v>1509</v>
      </c>
      <c r="Z5" s="13">
        <v>13491</v>
      </c>
      <c r="AA5" s="14">
        <f t="shared" si="0"/>
        <v>49450</v>
      </c>
      <c r="AB5" s="22">
        <f t="shared" si="1"/>
        <v>593400</v>
      </c>
      <c r="AC5" s="13" t="str">
        <f>IF(Table13465[[#This Row],[Performance_Rating]]&gt;5,"YES","NO")</f>
        <v>NO</v>
      </c>
      <c r="AD5" s="37">
        <f ca="1">YEARFRAC(Table13465[[#This Row],[Joining_Date]],TODAY())</f>
        <v>3.05</v>
      </c>
      <c r="AE5" s="11" t="str">
        <f ca="1">IF(Table13465[[#This Row],[Experience]]&gt;3,"ELIGIBLE","NOT ELIGIBLE")</f>
        <v>ELIGIBLE</v>
      </c>
      <c r="AG5" s="75"/>
      <c r="AH5" s="75"/>
      <c r="AI5" s="75"/>
      <c r="AJ5" s="75"/>
      <c r="AK5" s="75"/>
      <c r="AL5" s="75"/>
      <c r="AM5" s="75"/>
      <c r="AN5" s="75"/>
      <c r="AO5" s="75"/>
      <c r="AP5" s="75"/>
      <c r="AQ5" s="75"/>
      <c r="AR5" s="75"/>
      <c r="AS5" s="75"/>
      <c r="AT5" s="75"/>
      <c r="AU5" s="75"/>
      <c r="AV5" s="75"/>
      <c r="AW5" s="75"/>
      <c r="AX5" s="75"/>
      <c r="AY5" s="75"/>
      <c r="AZ5" s="75"/>
      <c r="BA5" s="82"/>
      <c r="BB5" s="82"/>
      <c r="BC5" s="82"/>
      <c r="BD5" s="82" t="s">
        <v>224</v>
      </c>
      <c r="BE5" s="82">
        <f>COUNTIF(C:C,"Other")</f>
        <v>0</v>
      </c>
      <c r="BF5" s="82"/>
      <c r="BG5" s="82">
        <v>3</v>
      </c>
      <c r="BH5" s="82">
        <f>COUNTIF(G:G,3)</f>
        <v>3</v>
      </c>
      <c r="BI5" s="82"/>
      <c r="BJ5" s="82" t="s">
        <v>225</v>
      </c>
      <c r="BK5" s="84" t="e">
        <f>ROUND(AVERAGE(X:X),0)</f>
        <v>#REF!</v>
      </c>
      <c r="BL5" s="82"/>
      <c r="BM5" s="82"/>
      <c r="BN5" s="82"/>
    </row>
    <row r="6" spans="1:66">
      <c r="A6" s="20" t="s">
        <v>79</v>
      </c>
      <c r="B6" s="10" t="s">
        <v>80</v>
      </c>
      <c r="C6" s="11" t="s">
        <v>152</v>
      </c>
      <c r="D6" s="11">
        <v>22</v>
      </c>
      <c r="E6" s="12">
        <v>45715</v>
      </c>
      <c r="F6" s="11" t="s">
        <v>84</v>
      </c>
      <c r="G6" s="11">
        <v>7</v>
      </c>
      <c r="H6" s="11">
        <v>7</v>
      </c>
      <c r="I6" s="11" t="e" vm="4">
        <v>#VALUE!</v>
      </c>
      <c r="J6" s="11" t="s">
        <v>33</v>
      </c>
      <c r="K6" s="11" t="s">
        <v>63</v>
      </c>
      <c r="L6" s="11" t="s">
        <v>49</v>
      </c>
      <c r="M6" s="11" t="s">
        <v>50</v>
      </c>
      <c r="N6" s="11" t="s">
        <v>37</v>
      </c>
      <c r="O6" s="12">
        <v>43361</v>
      </c>
      <c r="P6" s="11" t="s">
        <v>38</v>
      </c>
      <c r="Q6" s="25" t="s">
        <v>85</v>
      </c>
      <c r="R6" s="11">
        <v>8956633103</v>
      </c>
      <c r="S6" s="11" t="s">
        <v>54</v>
      </c>
      <c r="T6" s="11" t="s">
        <v>55</v>
      </c>
      <c r="U6" s="11" t="s">
        <v>42</v>
      </c>
      <c r="V6" s="13">
        <v>52000</v>
      </c>
      <c r="W6" s="13">
        <v>3674</v>
      </c>
      <c r="X6" s="13">
        <v>1800</v>
      </c>
      <c r="Y6" s="13">
        <v>1075</v>
      </c>
      <c r="Z6" s="13">
        <v>11935</v>
      </c>
      <c r="AA6" s="14">
        <f t="shared" si="0"/>
        <v>70484</v>
      </c>
      <c r="AB6" s="22">
        <f t="shared" si="1"/>
        <v>845808</v>
      </c>
      <c r="AC6" s="13" t="str">
        <f>IF(Table13465[[#This Row],[Performance_Rating]]&gt;5,"YES","NO")</f>
        <v>YES</v>
      </c>
      <c r="AD6" s="37">
        <f ca="1">YEARFRAC(Table13465[[#This Row],[Joining_Date]],TODAY())</f>
        <v>1.4166666666666667</v>
      </c>
      <c r="AE6" s="11" t="str">
        <f ca="1">IF(Table13465[[#This Row],[Experience]]&gt;3,"ELIGIBLE","NOT ELIGIBLE")</f>
        <v>NOT ELIGIBLE</v>
      </c>
      <c r="AG6" s="75"/>
      <c r="AH6" s="75"/>
      <c r="AI6" s="75"/>
      <c r="AJ6" s="75"/>
      <c r="AK6" s="75"/>
      <c r="AL6" s="75"/>
      <c r="AM6" s="75"/>
      <c r="AN6" s="75"/>
      <c r="AO6" s="75"/>
      <c r="AP6" s="75"/>
      <c r="AQ6" s="75"/>
      <c r="AR6" s="75"/>
      <c r="AS6" s="75"/>
      <c r="AT6" s="75"/>
      <c r="AU6" s="75"/>
      <c r="AV6" s="75"/>
      <c r="AW6" s="75"/>
      <c r="AX6" s="75"/>
      <c r="AY6" s="75"/>
      <c r="AZ6" s="75"/>
      <c r="BA6" s="82"/>
      <c r="BB6" s="82"/>
      <c r="BC6" s="82"/>
      <c r="BD6" s="82"/>
      <c r="BE6" s="82"/>
      <c r="BF6" s="82"/>
      <c r="BG6" s="82">
        <v>4</v>
      </c>
      <c r="BH6" s="82">
        <f>COUNTIF(G:G,4)</f>
        <v>1</v>
      </c>
      <c r="BI6" s="82"/>
      <c r="BJ6" s="82" t="s">
        <v>25</v>
      </c>
      <c r="BK6" s="84">
        <f>ROUND(AVERAGE(Y:Y),0)</f>
        <v>1937</v>
      </c>
      <c r="BL6" s="82"/>
      <c r="BM6" s="82"/>
      <c r="BN6" s="82"/>
    </row>
    <row r="7" spans="1:66">
      <c r="A7" s="20" t="s">
        <v>86</v>
      </c>
      <c r="B7" s="10" t="s">
        <v>87</v>
      </c>
      <c r="C7" s="11" t="s">
        <v>152</v>
      </c>
      <c r="D7" s="11">
        <v>23</v>
      </c>
      <c r="E7" s="12">
        <v>46156</v>
      </c>
      <c r="F7" s="12" t="s">
        <v>32</v>
      </c>
      <c r="G7" s="11">
        <v>9</v>
      </c>
      <c r="H7" s="11">
        <v>8</v>
      </c>
      <c r="I7" s="11" t="e" vm="5">
        <v>#VALUE!</v>
      </c>
      <c r="J7" s="11" t="s">
        <v>33</v>
      </c>
      <c r="K7" s="11" t="s">
        <v>34</v>
      </c>
      <c r="L7" s="11" t="s">
        <v>64</v>
      </c>
      <c r="M7" s="11" t="s">
        <v>65</v>
      </c>
      <c r="N7" s="11" t="s">
        <v>66</v>
      </c>
      <c r="O7" s="12">
        <v>39843</v>
      </c>
      <c r="P7" s="11" t="s">
        <v>52</v>
      </c>
      <c r="Q7" s="25" t="s">
        <v>91</v>
      </c>
      <c r="R7" s="11">
        <v>9175514319</v>
      </c>
      <c r="S7" s="11" t="s">
        <v>69</v>
      </c>
      <c r="T7" s="11" t="s">
        <v>70</v>
      </c>
      <c r="U7" s="11" t="s">
        <v>42</v>
      </c>
      <c r="V7" s="13">
        <v>45000</v>
      </c>
      <c r="W7" s="13">
        <v>5870</v>
      </c>
      <c r="X7" s="13">
        <v>1875</v>
      </c>
      <c r="Y7" s="13">
        <v>1113</v>
      </c>
      <c r="Z7" s="13">
        <v>11161</v>
      </c>
      <c r="AA7" s="14">
        <f t="shared" si="0"/>
        <v>65019</v>
      </c>
      <c r="AB7" s="22">
        <f t="shared" si="1"/>
        <v>780228</v>
      </c>
      <c r="AC7" s="13" t="str">
        <f>IF(Table13465[[#This Row],[Performance_Rating]]&gt;5,"YES","NO")</f>
        <v>YES</v>
      </c>
      <c r="AD7" s="37">
        <f ca="1">YEARFRAC(Table13465[[#This Row],[Joining_Date]],TODAY())</f>
        <v>0.20277777777777778</v>
      </c>
      <c r="AE7" s="11" t="str">
        <f ca="1">IF(Table13465[[#This Row],[Experience]]&gt;3,"ELIGIBLE","NOT ELIGIBLE")</f>
        <v>NOT ELIGIBLE</v>
      </c>
      <c r="AG7" s="75"/>
      <c r="AH7" s="75"/>
      <c r="AI7" s="75"/>
      <c r="AJ7" s="75"/>
      <c r="AK7" s="75"/>
      <c r="AL7" s="75"/>
      <c r="AM7" s="75"/>
      <c r="AN7" s="75"/>
      <c r="AO7" s="75"/>
      <c r="AP7" s="75"/>
      <c r="AQ7" s="75"/>
      <c r="AR7" s="75"/>
      <c r="AS7" s="75"/>
      <c r="AT7" s="75"/>
      <c r="AU7" s="75"/>
      <c r="AV7" s="75"/>
      <c r="AW7" s="75"/>
      <c r="AX7" s="75"/>
      <c r="AY7" s="75"/>
      <c r="AZ7" s="75"/>
      <c r="BA7" s="82"/>
      <c r="BB7" s="82"/>
      <c r="BC7" s="82"/>
      <c r="BD7" s="82"/>
      <c r="BE7" s="82"/>
      <c r="BF7" s="82"/>
      <c r="BG7" s="82">
        <v>5</v>
      </c>
      <c r="BH7" s="82">
        <f>COUNTIF(G:G,5)</f>
        <v>5</v>
      </c>
      <c r="BI7" s="82"/>
      <c r="BJ7" s="82" t="s">
        <v>226</v>
      </c>
      <c r="BK7" s="84">
        <f>ROUND(AVERAGE(Z:Z),0)</f>
        <v>12784</v>
      </c>
      <c r="BL7" s="82"/>
      <c r="BM7" s="82"/>
      <c r="BN7" s="82"/>
    </row>
    <row r="8" spans="1:66">
      <c r="A8" s="20" t="s">
        <v>92</v>
      </c>
      <c r="B8" s="11" t="s">
        <v>93</v>
      </c>
      <c r="C8" s="11" t="s">
        <v>152</v>
      </c>
      <c r="D8" s="11">
        <v>22</v>
      </c>
      <c r="E8" s="12">
        <v>44363</v>
      </c>
      <c r="F8" s="12" t="s">
        <v>48</v>
      </c>
      <c r="G8" s="11">
        <v>8</v>
      </c>
      <c r="H8" s="11">
        <v>7</v>
      </c>
      <c r="I8" s="11" t="e" vm="6">
        <v>#VALUE!</v>
      </c>
      <c r="J8" s="11" t="s">
        <v>33</v>
      </c>
      <c r="K8" s="11" t="s">
        <v>63</v>
      </c>
      <c r="L8" s="11" t="s">
        <v>49</v>
      </c>
      <c r="M8" s="11" t="s">
        <v>65</v>
      </c>
      <c r="N8" s="11" t="s">
        <v>37</v>
      </c>
      <c r="O8" s="12">
        <v>40675</v>
      </c>
      <c r="P8" s="11" t="s">
        <v>67</v>
      </c>
      <c r="Q8" s="25" t="s">
        <v>95</v>
      </c>
      <c r="R8" s="11">
        <v>9320792333</v>
      </c>
      <c r="S8" s="11" t="s">
        <v>40</v>
      </c>
      <c r="T8" s="11" t="s">
        <v>41</v>
      </c>
      <c r="U8" s="11" t="s">
        <v>56</v>
      </c>
      <c r="V8" s="13">
        <v>25000</v>
      </c>
      <c r="W8" s="13">
        <v>4236</v>
      </c>
      <c r="X8" s="13">
        <v>1479</v>
      </c>
      <c r="Y8" s="13">
        <v>1260</v>
      </c>
      <c r="Z8" s="13">
        <v>15956</v>
      </c>
      <c r="AA8" s="14">
        <f t="shared" si="0"/>
        <v>47931</v>
      </c>
      <c r="AB8" s="22">
        <f t="shared" si="1"/>
        <v>575172</v>
      </c>
      <c r="AC8" s="13" t="str">
        <f>IF(Table13465[[#This Row],[Performance_Rating]]&gt;5,"YES","NO")</f>
        <v>YES</v>
      </c>
      <c r="AD8" s="37">
        <f ca="1">YEARFRAC(Table13465[[#This Row],[Joining_Date]],TODAY())</f>
        <v>5.1138888888888889</v>
      </c>
      <c r="AE8" s="11" t="str">
        <f ca="1">IF(Table13465[[#This Row],[Experience]]&gt;3,"ELIGIBLE","NOT ELIGIBLE")</f>
        <v>ELIGIBLE</v>
      </c>
      <c r="AG8" s="75"/>
      <c r="AH8" s="75"/>
      <c r="AI8" s="75"/>
      <c r="AJ8" s="75"/>
      <c r="AK8" s="75"/>
      <c r="AL8" s="75"/>
      <c r="AM8" s="75"/>
      <c r="AN8" s="75"/>
      <c r="AO8" s="75"/>
      <c r="AP8" s="75"/>
      <c r="AQ8" s="75"/>
      <c r="AR8" s="75"/>
      <c r="AS8" s="75"/>
      <c r="AT8" s="75"/>
      <c r="AU8" s="75"/>
      <c r="AV8" s="75"/>
      <c r="AW8" s="75"/>
      <c r="AX8" s="75"/>
      <c r="AY8" s="75"/>
      <c r="AZ8" s="75"/>
      <c r="BA8" s="82"/>
      <c r="BB8" s="82"/>
      <c r="BC8" s="82"/>
      <c r="BD8" s="82"/>
      <c r="BE8" s="82"/>
      <c r="BF8" s="82"/>
      <c r="BG8" s="82">
        <v>6</v>
      </c>
      <c r="BH8" s="82">
        <f>COUNTIF(G:G,6)</f>
        <v>0</v>
      </c>
      <c r="BI8" s="82"/>
      <c r="BJ8" s="82"/>
      <c r="BK8" s="82"/>
      <c r="BL8" s="82"/>
      <c r="BM8" s="82"/>
      <c r="BN8" s="82"/>
    </row>
    <row r="9" spans="1:66">
      <c r="A9" s="20" t="s">
        <v>96</v>
      </c>
      <c r="B9" s="10" t="s">
        <v>97</v>
      </c>
      <c r="C9" s="11" t="s">
        <v>151</v>
      </c>
      <c r="D9" s="11">
        <v>40</v>
      </c>
      <c r="E9" s="12">
        <v>45727</v>
      </c>
      <c r="F9" s="12" t="s">
        <v>62</v>
      </c>
      <c r="G9" s="11">
        <v>2</v>
      </c>
      <c r="H9" s="11">
        <v>7</v>
      </c>
      <c r="I9" s="11" t="e" vm="7">
        <v>#VALUE!</v>
      </c>
      <c r="J9" s="11" t="s">
        <v>33</v>
      </c>
      <c r="K9" s="11" t="s">
        <v>63</v>
      </c>
      <c r="L9" s="11" t="s">
        <v>64</v>
      </c>
      <c r="M9" s="11" t="s">
        <v>36</v>
      </c>
      <c r="N9" s="11" t="s">
        <v>51</v>
      </c>
      <c r="O9" s="12">
        <v>41180</v>
      </c>
      <c r="P9" s="11" t="s">
        <v>77</v>
      </c>
      <c r="Q9" s="25" t="s">
        <v>99</v>
      </c>
      <c r="R9" s="11">
        <v>8108881430</v>
      </c>
      <c r="S9" s="11" t="s">
        <v>54</v>
      </c>
      <c r="T9" s="11" t="s">
        <v>55</v>
      </c>
      <c r="U9" s="11" t="s">
        <v>42</v>
      </c>
      <c r="V9" s="13">
        <v>48000</v>
      </c>
      <c r="W9" s="13">
        <v>4857</v>
      </c>
      <c r="X9" s="13">
        <v>2460</v>
      </c>
      <c r="Y9" s="13">
        <v>2814</v>
      </c>
      <c r="Z9" s="13">
        <v>10795</v>
      </c>
      <c r="AA9" s="14">
        <f t="shared" si="0"/>
        <v>68926</v>
      </c>
      <c r="AB9" s="22">
        <f t="shared" si="1"/>
        <v>827112</v>
      </c>
      <c r="AC9" s="13" t="str">
        <f>IF(Table13465[[#This Row],[Performance_Rating]]&gt;5,"YES","NO")</f>
        <v>NO</v>
      </c>
      <c r="AD9" s="37">
        <f ca="1">YEARFRAC(Table13465[[#This Row],[Joining_Date]],TODAY())</f>
        <v>1.3777777777777778</v>
      </c>
      <c r="AE9" s="11" t="str">
        <f ca="1">IF(Table13465[[#This Row],[Experience]]&gt;3,"ELIGIBLE","NOT ELIGIBLE")</f>
        <v>NOT ELIGIBLE</v>
      </c>
      <c r="AG9" s="75"/>
      <c r="AH9" s="75"/>
      <c r="AI9" s="75"/>
      <c r="AJ9" s="75"/>
      <c r="AK9" s="75"/>
      <c r="AL9" s="75"/>
      <c r="AM9" s="75"/>
      <c r="AN9" s="75"/>
      <c r="AO9" s="75"/>
      <c r="AP9" s="75"/>
      <c r="AQ9" s="75"/>
      <c r="AR9" s="75"/>
      <c r="AS9" s="75"/>
      <c r="AT9" s="75"/>
      <c r="AU9" s="75"/>
      <c r="AV9" s="75"/>
      <c r="AW9" s="75"/>
      <c r="AX9" s="75"/>
      <c r="AY9" s="75"/>
      <c r="AZ9" s="75"/>
      <c r="BA9" s="82"/>
      <c r="BB9" s="82"/>
      <c r="BC9" s="82"/>
      <c r="BD9" s="82"/>
      <c r="BE9" s="82"/>
      <c r="BF9" s="82"/>
      <c r="BG9" s="82">
        <v>7</v>
      </c>
      <c r="BH9" s="82">
        <f>COUNTIF(G:G,7)</f>
        <v>2</v>
      </c>
      <c r="BI9" s="82"/>
      <c r="BJ9" s="82"/>
      <c r="BK9" s="82"/>
      <c r="BL9" s="82"/>
      <c r="BM9" s="82"/>
      <c r="BN9" s="82"/>
    </row>
    <row r="10" spans="1:66">
      <c r="A10" s="20" t="s">
        <v>100</v>
      </c>
      <c r="B10" s="10" t="s">
        <v>101</v>
      </c>
      <c r="C10" s="11" t="s">
        <v>152</v>
      </c>
      <c r="D10" s="11">
        <v>27</v>
      </c>
      <c r="E10" s="12">
        <v>44688</v>
      </c>
      <c r="F10" s="12" t="s">
        <v>76</v>
      </c>
      <c r="G10" s="11">
        <v>9</v>
      </c>
      <c r="H10" s="11">
        <v>5</v>
      </c>
      <c r="I10" s="11" t="e" vm="8">
        <v>#VALUE!</v>
      </c>
      <c r="J10" s="11" t="s">
        <v>33</v>
      </c>
      <c r="K10" s="11" t="s">
        <v>34</v>
      </c>
      <c r="L10" s="11" t="s">
        <v>35</v>
      </c>
      <c r="M10" s="11" t="s">
        <v>50</v>
      </c>
      <c r="N10" s="11" t="s">
        <v>66</v>
      </c>
      <c r="O10" s="12">
        <v>41882</v>
      </c>
      <c r="P10" s="11" t="s">
        <v>38</v>
      </c>
      <c r="Q10" s="25" t="s">
        <v>102</v>
      </c>
      <c r="R10" s="11">
        <v>9623120150</v>
      </c>
      <c r="S10" s="11" t="s">
        <v>69</v>
      </c>
      <c r="T10" s="11" t="s">
        <v>70</v>
      </c>
      <c r="U10" s="11" t="s">
        <v>56</v>
      </c>
      <c r="V10" s="13">
        <v>31000</v>
      </c>
      <c r="W10" s="13">
        <v>4746</v>
      </c>
      <c r="X10" s="13">
        <v>2490</v>
      </c>
      <c r="Y10" s="13">
        <v>1122</v>
      </c>
      <c r="Z10" s="13">
        <v>9064</v>
      </c>
      <c r="AA10" s="14">
        <f t="shared" si="0"/>
        <v>48422</v>
      </c>
      <c r="AB10" s="22">
        <f t="shared" si="1"/>
        <v>581064</v>
      </c>
      <c r="AC10" s="13" t="str">
        <f>IF(Table13465[[#This Row],[Performance_Rating]]&gt;5,"YES","NO")</f>
        <v>YES</v>
      </c>
      <c r="AD10" s="37">
        <f ca="1">YEARFRAC(Table13465[[#This Row],[Joining_Date]],TODAY())</f>
        <v>4.2222222222222223</v>
      </c>
      <c r="AE10" s="11" t="str">
        <f ca="1">IF(Table13465[[#This Row],[Experience]]&gt;3,"ELIGIBLE","NOT ELIGIBLE")</f>
        <v>ELIGIBLE</v>
      </c>
      <c r="AG10" s="77" t="s">
        <v>148</v>
      </c>
      <c r="AH10" s="77" t="s">
        <v>208</v>
      </c>
      <c r="AI10" s="75"/>
      <c r="AJ10" s="75"/>
      <c r="AK10" s="78" t="s">
        <v>227</v>
      </c>
      <c r="AL10" s="78" t="s">
        <v>208</v>
      </c>
      <c r="AM10" s="75"/>
      <c r="AN10" s="75"/>
      <c r="AO10" s="75"/>
      <c r="AP10" s="75"/>
      <c r="AQ10" s="75"/>
      <c r="AR10" s="75"/>
      <c r="AS10" s="75"/>
      <c r="AT10" s="75"/>
      <c r="AU10" s="75"/>
      <c r="AV10" s="75"/>
      <c r="AW10" s="75"/>
      <c r="AX10" s="75"/>
      <c r="AY10" s="75"/>
      <c r="AZ10" s="75"/>
      <c r="BA10" s="82"/>
      <c r="BB10" s="82"/>
      <c r="BC10" s="82"/>
      <c r="BD10" s="82"/>
      <c r="BE10" s="82"/>
      <c r="BF10" s="82"/>
      <c r="BG10" s="82">
        <v>8</v>
      </c>
      <c r="BH10" s="82">
        <f>COUNTIF(G:G,8)</f>
        <v>1</v>
      </c>
      <c r="BI10" s="82"/>
      <c r="BJ10" s="82"/>
      <c r="BK10" s="82"/>
      <c r="BL10" s="82"/>
      <c r="BM10" s="82"/>
      <c r="BN10" s="82"/>
    </row>
    <row r="11" spans="1:66">
      <c r="A11" s="20" t="s">
        <v>103</v>
      </c>
      <c r="B11" s="10" t="s">
        <v>104</v>
      </c>
      <c r="C11" s="11" t="s">
        <v>151</v>
      </c>
      <c r="D11" s="11">
        <v>39</v>
      </c>
      <c r="E11" s="12">
        <v>45947</v>
      </c>
      <c r="F11" s="11" t="s">
        <v>84</v>
      </c>
      <c r="G11" s="11">
        <v>10</v>
      </c>
      <c r="H11" s="11">
        <v>8</v>
      </c>
      <c r="I11" s="11" t="e" vm="9">
        <v>#VALUE!</v>
      </c>
      <c r="J11" s="11" t="s">
        <v>33</v>
      </c>
      <c r="K11" s="11" t="s">
        <v>63</v>
      </c>
      <c r="L11" s="11" t="s">
        <v>49</v>
      </c>
      <c r="M11" s="11" t="s">
        <v>65</v>
      </c>
      <c r="N11" s="11" t="s">
        <v>51</v>
      </c>
      <c r="O11" s="12">
        <v>39461</v>
      </c>
      <c r="P11" s="11" t="s">
        <v>77</v>
      </c>
      <c r="Q11" s="25" t="s">
        <v>105</v>
      </c>
      <c r="R11" s="11">
        <v>9832564390</v>
      </c>
      <c r="S11" s="11" t="s">
        <v>40</v>
      </c>
      <c r="T11" s="11" t="s">
        <v>41</v>
      </c>
      <c r="U11" s="11" t="s">
        <v>42</v>
      </c>
      <c r="V11" s="13">
        <v>29000</v>
      </c>
      <c r="W11" s="13">
        <v>4525</v>
      </c>
      <c r="X11" s="13">
        <v>2087</v>
      </c>
      <c r="Y11" s="13">
        <v>2358</v>
      </c>
      <c r="Z11" s="13">
        <v>15172</v>
      </c>
      <c r="AA11" s="14">
        <f t="shared" si="0"/>
        <v>53142</v>
      </c>
      <c r="AB11" s="22">
        <f t="shared" si="1"/>
        <v>637704</v>
      </c>
      <c r="AC11" s="13" t="str">
        <f>IF(Table13465[[#This Row],[Performance_Rating]]&gt;5,"YES","NO")</f>
        <v>YES</v>
      </c>
      <c r="AD11" s="37">
        <f ca="1">YEARFRAC(Table13465[[#This Row],[Joining_Date]],TODAY())</f>
        <v>0.77777777777777779</v>
      </c>
      <c r="AE11" s="11" t="str">
        <f ca="1">IF(Table13465[[#This Row],[Experience]]&gt;3,"ELIGIBLE","NOT ELIGIBLE")</f>
        <v>NOT ELIGIBLE</v>
      </c>
      <c r="AG11" s="79" t="s">
        <v>151</v>
      </c>
      <c r="AH11" s="79">
        <f>COUNTIF(C:C,"Male")</f>
        <v>9</v>
      </c>
      <c r="AI11" s="75"/>
      <c r="AJ11" s="75"/>
      <c r="AK11" s="80" t="s">
        <v>35</v>
      </c>
      <c r="AL11" s="80">
        <f>COUNTIF(L:L,"WFO")</f>
        <v>5</v>
      </c>
      <c r="AM11" s="75"/>
      <c r="AN11" s="75"/>
      <c r="AO11" s="75"/>
      <c r="AP11" s="75"/>
      <c r="AQ11" s="75"/>
      <c r="AR11" s="75"/>
      <c r="AS11" s="75"/>
      <c r="AT11" s="75"/>
      <c r="AU11" s="75"/>
      <c r="AV11" s="75"/>
      <c r="AW11" s="75"/>
      <c r="AX11" s="75"/>
      <c r="AY11" s="75"/>
      <c r="AZ11" s="75"/>
      <c r="BA11" s="82"/>
      <c r="BB11" s="82"/>
      <c r="BC11" s="82"/>
      <c r="BD11" s="82"/>
      <c r="BE11" s="82"/>
      <c r="BF11" s="82"/>
      <c r="BG11" s="82">
        <v>9</v>
      </c>
      <c r="BH11" s="82">
        <f>COUNTIF(G:G,9)</f>
        <v>2</v>
      </c>
      <c r="BI11" s="82"/>
      <c r="BJ11" s="82"/>
      <c r="BK11" s="82"/>
      <c r="BL11" s="82"/>
      <c r="BM11" s="82"/>
      <c r="BN11" s="82"/>
    </row>
    <row r="12" spans="1:66">
      <c r="A12" s="20" t="s">
        <v>106</v>
      </c>
      <c r="B12" s="10" t="s">
        <v>107</v>
      </c>
      <c r="C12" s="11" t="s">
        <v>152</v>
      </c>
      <c r="D12" s="11">
        <v>45</v>
      </c>
      <c r="E12" s="12">
        <v>44524</v>
      </c>
      <c r="F12" s="12" t="s">
        <v>32</v>
      </c>
      <c r="G12" s="11">
        <v>3</v>
      </c>
      <c r="H12" s="11">
        <v>8</v>
      </c>
      <c r="I12" s="11" t="e" vm="10">
        <v>#VALUE!</v>
      </c>
      <c r="J12" s="11" t="s">
        <v>33</v>
      </c>
      <c r="K12" s="11" t="s">
        <v>34</v>
      </c>
      <c r="L12" s="11" t="s">
        <v>64</v>
      </c>
      <c r="M12" s="11" t="s">
        <v>65</v>
      </c>
      <c r="N12" s="11" t="s">
        <v>51</v>
      </c>
      <c r="O12" s="12">
        <v>40105</v>
      </c>
      <c r="P12" s="11" t="s">
        <v>38</v>
      </c>
      <c r="Q12" s="25" t="s">
        <v>109</v>
      </c>
      <c r="R12" s="11">
        <v>8765234120</v>
      </c>
      <c r="S12" s="11" t="s">
        <v>54</v>
      </c>
      <c r="T12" s="11" t="s">
        <v>55</v>
      </c>
      <c r="U12" s="11" t="s">
        <v>56</v>
      </c>
      <c r="V12" s="13">
        <v>55000</v>
      </c>
      <c r="W12" s="13">
        <v>5399</v>
      </c>
      <c r="X12" s="13">
        <v>2006</v>
      </c>
      <c r="Y12" s="13">
        <v>1984</v>
      </c>
      <c r="Z12" s="13">
        <v>15278</v>
      </c>
      <c r="AA12" s="14">
        <f t="shared" si="0"/>
        <v>79667</v>
      </c>
      <c r="AB12" s="22">
        <f t="shared" si="1"/>
        <v>956004</v>
      </c>
      <c r="AC12" s="13" t="str">
        <f>IF(Table13465[[#This Row],[Performance_Rating]]&gt;5,"YES","NO")</f>
        <v>NO</v>
      </c>
      <c r="AD12" s="37">
        <f ca="1">YEARFRAC(Table13465[[#This Row],[Joining_Date]],TODAY())</f>
        <v>4.6749999999999998</v>
      </c>
      <c r="AE12" s="11" t="str">
        <f ca="1">IF(Table13465[[#This Row],[Experience]]&gt;3,"ELIGIBLE","NOT ELIGIBLE")</f>
        <v>ELIGIBLE</v>
      </c>
      <c r="AG12" s="79" t="s">
        <v>152</v>
      </c>
      <c r="AH12" s="79">
        <f>COUNTIF(C:C,"Female")</f>
        <v>11</v>
      </c>
      <c r="AI12" s="75"/>
      <c r="AJ12" s="75"/>
      <c r="AK12" s="80" t="s">
        <v>64</v>
      </c>
      <c r="AL12" s="80">
        <f>COUNTIF(L:L,"WFH")</f>
        <v>6</v>
      </c>
      <c r="AM12" s="75"/>
      <c r="AN12" s="75"/>
      <c r="AO12" s="75"/>
      <c r="AP12" s="75"/>
      <c r="AQ12" s="75"/>
      <c r="AR12" s="75"/>
      <c r="AS12" s="75"/>
      <c r="AT12" s="75"/>
      <c r="AU12" s="75"/>
      <c r="AV12" s="75"/>
      <c r="AW12" s="75"/>
      <c r="AX12" s="75"/>
      <c r="AY12" s="75"/>
      <c r="AZ12" s="75"/>
      <c r="BA12" s="82"/>
      <c r="BB12" s="82"/>
      <c r="BC12" s="82"/>
      <c r="BD12" s="82"/>
      <c r="BE12" s="82"/>
      <c r="BF12" s="82"/>
      <c r="BG12" s="82">
        <v>10</v>
      </c>
      <c r="BH12" s="82">
        <f>COUNTIF(G:G,10)</f>
        <v>2</v>
      </c>
      <c r="BI12" s="82"/>
      <c r="BJ12" s="82"/>
      <c r="BK12" s="82"/>
      <c r="BL12" s="82"/>
      <c r="BM12" s="82"/>
      <c r="BN12" s="82"/>
    </row>
    <row r="13" spans="1:66">
      <c r="A13" s="20" t="s">
        <v>110</v>
      </c>
      <c r="B13" s="10" t="s">
        <v>111</v>
      </c>
      <c r="C13" s="11" t="s">
        <v>151</v>
      </c>
      <c r="D13" s="11">
        <v>31</v>
      </c>
      <c r="E13" s="12">
        <v>45116</v>
      </c>
      <c r="F13" s="12" t="s">
        <v>48</v>
      </c>
      <c r="G13" s="11">
        <v>5</v>
      </c>
      <c r="H13" s="11">
        <v>7</v>
      </c>
      <c r="I13" s="11" t="e" vm="11">
        <v>#VALUE!</v>
      </c>
      <c r="J13" s="11" t="s">
        <v>33</v>
      </c>
      <c r="K13" s="11" t="s">
        <v>34</v>
      </c>
      <c r="L13" s="11" t="s">
        <v>35</v>
      </c>
      <c r="M13" s="11" t="s">
        <v>36</v>
      </c>
      <c r="N13" s="11" t="s">
        <v>66</v>
      </c>
      <c r="O13" s="12">
        <v>41235</v>
      </c>
      <c r="P13" s="11" t="s">
        <v>52</v>
      </c>
      <c r="Q13" s="25" t="s">
        <v>114</v>
      </c>
      <c r="R13" s="11">
        <v>9808602317</v>
      </c>
      <c r="S13" s="11" t="s">
        <v>69</v>
      </c>
      <c r="T13" s="11" t="s">
        <v>70</v>
      </c>
      <c r="U13" s="11" t="s">
        <v>42</v>
      </c>
      <c r="V13" s="13">
        <v>42000</v>
      </c>
      <c r="W13" s="13">
        <v>5836</v>
      </c>
      <c r="X13" s="13">
        <v>2233</v>
      </c>
      <c r="Y13" s="13">
        <v>1115</v>
      </c>
      <c r="Z13" s="13">
        <v>15838</v>
      </c>
      <c r="AA13" s="14">
        <f t="shared" si="0"/>
        <v>67022</v>
      </c>
      <c r="AB13" s="22">
        <f t="shared" si="1"/>
        <v>804264</v>
      </c>
      <c r="AC13" s="13" t="str">
        <f>IF(Table13465[[#This Row],[Performance_Rating]]&gt;5,"YES","NO")</f>
        <v>NO</v>
      </c>
      <c r="AD13" s="37">
        <f ca="1">YEARFRAC(Table13465[[#This Row],[Joining_Date]],TODAY())</f>
        <v>3.05</v>
      </c>
      <c r="AE13" s="11" t="str">
        <f ca="1">IF(Table13465[[#This Row],[Experience]]&gt;3,"ELIGIBLE","NOT ELIGIBLE")</f>
        <v>ELIGIBLE</v>
      </c>
      <c r="AG13" s="79" t="s">
        <v>224</v>
      </c>
      <c r="AH13" s="79">
        <f>COUNTIF(C:C,"Other")</f>
        <v>0</v>
      </c>
      <c r="AI13" s="75"/>
      <c r="AJ13" s="75"/>
      <c r="AK13" s="80" t="s">
        <v>49</v>
      </c>
      <c r="AL13" s="80">
        <f>COUNTIF(L:L,"Hybrid")</f>
        <v>9</v>
      </c>
      <c r="AM13" s="75"/>
      <c r="AN13" s="75"/>
      <c r="AO13" s="75"/>
      <c r="AP13" s="75"/>
      <c r="AQ13" s="75"/>
      <c r="AR13" s="75"/>
      <c r="AS13" s="75"/>
      <c r="AT13" s="75"/>
      <c r="AU13" s="75"/>
      <c r="AV13" s="75"/>
      <c r="AW13" s="75"/>
      <c r="AX13" s="75"/>
      <c r="AY13" s="75"/>
      <c r="AZ13" s="75"/>
    </row>
    <row r="14" spans="1:66">
      <c r="A14" s="20" t="s">
        <v>115</v>
      </c>
      <c r="B14" s="11" t="s">
        <v>116</v>
      </c>
      <c r="C14" s="11" t="s">
        <v>152</v>
      </c>
      <c r="D14" s="11">
        <v>34</v>
      </c>
      <c r="E14" s="12">
        <v>45495</v>
      </c>
      <c r="F14" s="12" t="s">
        <v>62</v>
      </c>
      <c r="G14" s="11">
        <v>3</v>
      </c>
      <c r="H14" s="11">
        <v>4</v>
      </c>
      <c r="I14" s="11" t="e" vm="12">
        <v>#VALUE!</v>
      </c>
      <c r="J14" s="11" t="s">
        <v>33</v>
      </c>
      <c r="K14" s="11" t="s">
        <v>63</v>
      </c>
      <c r="L14" s="11" t="s">
        <v>49</v>
      </c>
      <c r="M14" s="11" t="s">
        <v>36</v>
      </c>
      <c r="N14" s="11" t="s">
        <v>37</v>
      </c>
      <c r="O14" s="12">
        <v>42420</v>
      </c>
      <c r="P14" s="11" t="s">
        <v>67</v>
      </c>
      <c r="Q14" s="25" t="s">
        <v>118</v>
      </c>
      <c r="R14" s="11">
        <v>9010302040</v>
      </c>
      <c r="S14" s="11" t="s">
        <v>40</v>
      </c>
      <c r="T14" s="11" t="s">
        <v>41</v>
      </c>
      <c r="U14" s="11" t="s">
        <v>56</v>
      </c>
      <c r="V14" s="13">
        <v>37000</v>
      </c>
      <c r="W14" s="13">
        <v>3391</v>
      </c>
      <c r="X14" s="13">
        <v>2385</v>
      </c>
      <c r="Y14" s="13">
        <v>2371</v>
      </c>
      <c r="Z14" s="13">
        <v>10211</v>
      </c>
      <c r="AA14" s="14">
        <f t="shared" si="0"/>
        <v>55358</v>
      </c>
      <c r="AB14" s="22">
        <f t="shared" si="1"/>
        <v>664296</v>
      </c>
      <c r="AC14" s="13" t="str">
        <f>IF(Table13465[[#This Row],[Performance_Rating]]&gt;5,"YES","NO")</f>
        <v>NO</v>
      </c>
      <c r="AD14" s="37">
        <f ca="1">YEARFRAC(Table13465[[#This Row],[Joining_Date]],TODAY())</f>
        <v>2.0138888888888888</v>
      </c>
      <c r="AE14" s="11" t="str">
        <f ca="1">IF(Table13465[[#This Row],[Experience]]&gt;3,"ELIGIBLE","NOT ELIGIBLE")</f>
        <v>NOT ELIGIBLE</v>
      </c>
      <c r="AG14" s="75"/>
      <c r="AH14" s="75"/>
      <c r="AI14" s="75"/>
      <c r="AJ14" s="75"/>
      <c r="AK14" s="75"/>
      <c r="AL14" s="75"/>
      <c r="AM14" s="75"/>
      <c r="AN14" s="75"/>
      <c r="AO14" s="75"/>
      <c r="AP14" s="75"/>
      <c r="AQ14" s="75"/>
      <c r="AR14" s="75"/>
      <c r="AS14" s="75"/>
      <c r="AT14" s="75"/>
      <c r="AU14" s="75"/>
      <c r="AV14" s="75"/>
      <c r="AW14" s="75"/>
      <c r="AX14" s="75"/>
      <c r="AY14" s="75"/>
      <c r="AZ14" s="75"/>
    </row>
    <row r="15" spans="1:66">
      <c r="A15" s="20" t="s">
        <v>119</v>
      </c>
      <c r="B15" s="10" t="s">
        <v>120</v>
      </c>
      <c r="C15" s="11" t="s">
        <v>151</v>
      </c>
      <c r="D15" s="11">
        <v>21</v>
      </c>
      <c r="E15" s="12">
        <v>44433</v>
      </c>
      <c r="F15" s="12" t="s">
        <v>76</v>
      </c>
      <c r="G15" s="11">
        <v>7</v>
      </c>
      <c r="H15" s="11">
        <v>6</v>
      </c>
      <c r="I15" s="11" t="e" vm="13">
        <v>#VALUE!</v>
      </c>
      <c r="J15" s="11" t="s">
        <v>33</v>
      </c>
      <c r="K15" s="11" t="s">
        <v>34</v>
      </c>
      <c r="L15" s="11" t="s">
        <v>64</v>
      </c>
      <c r="M15" s="11" t="s">
        <v>50</v>
      </c>
      <c r="N15" s="11" t="s">
        <v>66</v>
      </c>
      <c r="O15" s="12">
        <v>43340</v>
      </c>
      <c r="P15" s="11" t="s">
        <v>77</v>
      </c>
      <c r="Q15" s="25" t="s">
        <v>123</v>
      </c>
      <c r="R15" s="11">
        <v>9854320286</v>
      </c>
      <c r="S15" s="11" t="s">
        <v>54</v>
      </c>
      <c r="T15" s="11" t="s">
        <v>55</v>
      </c>
      <c r="U15" s="11" t="s">
        <v>42</v>
      </c>
      <c r="V15" s="13">
        <v>40000</v>
      </c>
      <c r="W15" s="13">
        <v>2322</v>
      </c>
      <c r="X15" s="13">
        <v>2013</v>
      </c>
      <c r="Y15" s="13">
        <v>1548</v>
      </c>
      <c r="Z15" s="13">
        <v>11267</v>
      </c>
      <c r="AA15" s="14">
        <f t="shared" si="0"/>
        <v>57150</v>
      </c>
      <c r="AB15" s="22">
        <f t="shared" si="1"/>
        <v>685800</v>
      </c>
      <c r="AC15" s="13" t="str">
        <f>IF(Table13465[[#This Row],[Performance_Rating]]&gt;5,"YES","NO")</f>
        <v>YES</v>
      </c>
      <c r="AD15" s="37">
        <f ca="1">YEARFRAC(Table13465[[#This Row],[Joining_Date]],TODAY())</f>
        <v>4.9222222222222225</v>
      </c>
      <c r="AE15" s="11" t="str">
        <f ca="1">IF(Table13465[[#This Row],[Experience]]&gt;3,"ELIGIBLE","NOT ELIGIBLE")</f>
        <v>ELIGIBLE</v>
      </c>
      <c r="AG15" s="75"/>
      <c r="AH15" s="75"/>
      <c r="AI15" s="75"/>
      <c r="AJ15" s="75"/>
      <c r="AK15" s="75"/>
      <c r="AL15" s="75"/>
      <c r="AM15" s="75"/>
      <c r="AN15" s="75"/>
      <c r="AO15" s="75"/>
      <c r="AP15" s="75"/>
      <c r="AQ15" s="75"/>
      <c r="AR15" s="75"/>
      <c r="AS15" s="75"/>
      <c r="AT15" s="75"/>
      <c r="AU15" s="75"/>
      <c r="AV15" s="75"/>
      <c r="AW15" s="75"/>
      <c r="AX15" s="75"/>
      <c r="AY15" s="75"/>
      <c r="AZ15" s="75"/>
    </row>
    <row r="16" spans="1:66">
      <c r="A16" s="20" t="s">
        <v>124</v>
      </c>
      <c r="B16" s="10" t="s">
        <v>125</v>
      </c>
      <c r="C16" s="11" t="s">
        <v>152</v>
      </c>
      <c r="D16" s="11">
        <v>24</v>
      </c>
      <c r="E16" s="12">
        <v>45988</v>
      </c>
      <c r="F16" s="11" t="s">
        <v>84</v>
      </c>
      <c r="G16" s="11">
        <v>5</v>
      </c>
      <c r="H16" s="11">
        <v>6</v>
      </c>
      <c r="I16" s="11" t="e" vm="14">
        <v>#VALUE!</v>
      </c>
      <c r="J16" s="11" t="s">
        <v>33</v>
      </c>
      <c r="K16" s="11" t="s">
        <v>63</v>
      </c>
      <c r="L16" s="11" t="s">
        <v>35</v>
      </c>
      <c r="M16" s="11" t="s">
        <v>65</v>
      </c>
      <c r="N16" s="11" t="s">
        <v>66</v>
      </c>
      <c r="O16" s="12">
        <v>40643</v>
      </c>
      <c r="P16" s="11" t="s">
        <v>38</v>
      </c>
      <c r="Q16" s="25" t="s">
        <v>128</v>
      </c>
      <c r="R16" s="11">
        <v>9027202587</v>
      </c>
      <c r="S16" s="11" t="s">
        <v>69</v>
      </c>
      <c r="T16" s="11" t="s">
        <v>70</v>
      </c>
      <c r="U16" s="11" t="s">
        <v>56</v>
      </c>
      <c r="V16" s="13">
        <v>38000</v>
      </c>
      <c r="W16" s="13">
        <v>4512</v>
      </c>
      <c r="X16" s="13">
        <v>1660</v>
      </c>
      <c r="Y16" s="13">
        <v>2582</v>
      </c>
      <c r="Z16" s="13">
        <v>13514</v>
      </c>
      <c r="AA16" s="14">
        <f t="shared" si="0"/>
        <v>60268</v>
      </c>
      <c r="AB16" s="22">
        <f t="shared" si="1"/>
        <v>723216</v>
      </c>
      <c r="AC16" s="13" t="str">
        <f>IF(Table13465[[#This Row],[Performance_Rating]]&gt;5,"YES","NO")</f>
        <v>NO</v>
      </c>
      <c r="AD16" s="37">
        <f ca="1">YEARFRAC(Table13465[[#This Row],[Joining_Date]],TODAY())</f>
        <v>0.66666666666666663</v>
      </c>
      <c r="AE16" s="11" t="str">
        <f ca="1">IF(Table13465[[#This Row],[Experience]]&gt;3,"ELIGIBLE","NOT ELIGIBLE")</f>
        <v>NOT ELIGIBLE</v>
      </c>
      <c r="AG16" s="75"/>
      <c r="AH16" s="75"/>
      <c r="AI16" s="75"/>
      <c r="AJ16" s="75"/>
      <c r="AK16" s="75"/>
      <c r="AL16" s="75"/>
      <c r="AM16" s="75"/>
      <c r="AN16" s="75"/>
      <c r="AO16" s="75"/>
      <c r="AP16" s="75"/>
      <c r="AQ16" s="75"/>
      <c r="AR16" s="75"/>
      <c r="AS16" s="75"/>
      <c r="AT16" s="75"/>
      <c r="AU16" s="75"/>
      <c r="AV16" s="75"/>
      <c r="AW16" s="75"/>
      <c r="AX16" s="75"/>
      <c r="AY16" s="75"/>
      <c r="AZ16" s="75"/>
    </row>
    <row r="17" spans="1:78">
      <c r="A17" s="20" t="s">
        <v>129</v>
      </c>
      <c r="B17" s="10" t="s">
        <v>130</v>
      </c>
      <c r="C17" s="11" t="s">
        <v>152</v>
      </c>
      <c r="D17" s="11">
        <v>32</v>
      </c>
      <c r="E17" s="12">
        <v>44273</v>
      </c>
      <c r="F17" s="12" t="s">
        <v>32</v>
      </c>
      <c r="G17" s="11">
        <v>5</v>
      </c>
      <c r="H17" s="11">
        <v>7</v>
      </c>
      <c r="I17" s="11" t="e" vm="11">
        <v>#VALUE!</v>
      </c>
      <c r="J17" s="11" t="s">
        <v>33</v>
      </c>
      <c r="K17" s="11" t="s">
        <v>34</v>
      </c>
      <c r="L17" s="11" t="s">
        <v>49</v>
      </c>
      <c r="M17" s="11" t="s">
        <v>65</v>
      </c>
      <c r="N17" s="11" t="s">
        <v>51</v>
      </c>
      <c r="O17" s="12">
        <v>41277</v>
      </c>
      <c r="P17" s="11" t="s">
        <v>52</v>
      </c>
      <c r="Q17" s="25" t="s">
        <v>132</v>
      </c>
      <c r="R17" s="11">
        <v>8785818089</v>
      </c>
      <c r="S17" s="11" t="s">
        <v>40</v>
      </c>
      <c r="T17" s="11" t="s">
        <v>41</v>
      </c>
      <c r="U17" s="11" t="s">
        <v>42</v>
      </c>
      <c r="V17" s="13">
        <v>34000</v>
      </c>
      <c r="W17" s="13">
        <v>3878</v>
      </c>
      <c r="X17" s="13">
        <v>1816</v>
      </c>
      <c r="Y17" s="13">
        <v>2189</v>
      </c>
      <c r="Z17" s="13">
        <v>14132</v>
      </c>
      <c r="AA17" s="14">
        <f t="shared" si="0"/>
        <v>56015</v>
      </c>
      <c r="AB17" s="22">
        <f t="shared" si="1"/>
        <v>672180</v>
      </c>
      <c r="AC17" s="13" t="str">
        <f>IF(Table13465[[#This Row],[Performance_Rating]]&gt;5,"YES","NO")</f>
        <v>NO</v>
      </c>
      <c r="AD17" s="37">
        <f ca="1">YEARFRAC(Table13465[[#This Row],[Joining_Date]],TODAY())</f>
        <v>5.3583333333333334</v>
      </c>
      <c r="AE17" s="11" t="str">
        <f ca="1">IF(Table13465[[#This Row],[Experience]]&gt;3,"ELIGIBLE","NOT ELIGIBLE")</f>
        <v>ELIGIBLE</v>
      </c>
      <c r="AG17" s="75"/>
      <c r="AH17" s="75"/>
      <c r="AI17" s="75"/>
      <c r="AJ17" s="75"/>
      <c r="AK17" s="75"/>
      <c r="AL17" s="75"/>
      <c r="AM17" s="75"/>
      <c r="AN17" s="75"/>
      <c r="AO17" s="75"/>
      <c r="AP17" s="75"/>
      <c r="AQ17" s="75"/>
      <c r="AR17" s="75"/>
      <c r="AS17" s="75"/>
      <c r="AT17" s="75"/>
      <c r="AU17" s="75"/>
      <c r="AV17" s="75"/>
      <c r="AW17" s="75"/>
      <c r="AX17" s="75"/>
      <c r="AY17" s="75"/>
      <c r="AZ17" s="75"/>
    </row>
    <row r="18" spans="1:78">
      <c r="A18" s="20" t="s">
        <v>133</v>
      </c>
      <c r="B18" s="11" t="s">
        <v>134</v>
      </c>
      <c r="C18" s="11" t="s">
        <v>151</v>
      </c>
      <c r="D18" s="11">
        <v>26</v>
      </c>
      <c r="E18" s="12">
        <v>45675</v>
      </c>
      <c r="F18" s="12" t="s">
        <v>48</v>
      </c>
      <c r="G18" s="11">
        <v>2</v>
      </c>
      <c r="H18" s="11">
        <v>8</v>
      </c>
      <c r="I18" s="11" t="e" vm="12">
        <v>#VALUE!</v>
      </c>
      <c r="J18" s="11" t="s">
        <v>33</v>
      </c>
      <c r="K18" s="11" t="s">
        <v>34</v>
      </c>
      <c r="L18" s="11" t="s">
        <v>49</v>
      </c>
      <c r="M18" s="11" t="s">
        <v>36</v>
      </c>
      <c r="N18" s="11" t="s">
        <v>37</v>
      </c>
      <c r="O18" s="12">
        <v>38276</v>
      </c>
      <c r="P18" s="11" t="s">
        <v>67</v>
      </c>
      <c r="Q18" s="25" t="s">
        <v>136</v>
      </c>
      <c r="R18" s="11">
        <v>8087812367</v>
      </c>
      <c r="S18" s="11" t="s">
        <v>54</v>
      </c>
      <c r="T18" s="11" t="s">
        <v>55</v>
      </c>
      <c r="U18" s="11" t="s">
        <v>56</v>
      </c>
      <c r="V18" s="13">
        <v>36000</v>
      </c>
      <c r="W18" s="13">
        <v>5168</v>
      </c>
      <c r="X18" s="13">
        <v>1925</v>
      </c>
      <c r="Y18" s="13">
        <v>1935</v>
      </c>
      <c r="Z18" s="13">
        <v>10916</v>
      </c>
      <c r="AA18" s="14">
        <f t="shared" si="0"/>
        <v>55944</v>
      </c>
      <c r="AB18" s="22">
        <f t="shared" si="1"/>
        <v>671328</v>
      </c>
      <c r="AC18" s="13" t="str">
        <f>IF(Table13465[[#This Row],[Performance_Rating]]&gt;5,"YES","NO")</f>
        <v>NO</v>
      </c>
      <c r="AD18" s="37">
        <f ca="1">YEARFRAC(Table13465[[#This Row],[Joining_Date]],TODAY())</f>
        <v>1.5249999999999999</v>
      </c>
      <c r="AE18" s="11" t="str">
        <f ca="1">IF(Table13465[[#This Row],[Experience]]&gt;3,"ELIGIBLE","NOT ELIGIBLE")</f>
        <v>NOT ELIGIBLE</v>
      </c>
      <c r="AG18" s="75"/>
      <c r="AH18" s="75"/>
      <c r="AI18" s="75"/>
      <c r="AJ18" s="75"/>
      <c r="AK18" s="75"/>
      <c r="AL18" s="75"/>
      <c r="AM18" s="75"/>
      <c r="AN18" s="75"/>
      <c r="AO18" s="75"/>
      <c r="AP18" s="75"/>
      <c r="AQ18" s="75"/>
      <c r="AR18" s="75"/>
      <c r="AS18" s="75"/>
      <c r="AT18" s="75"/>
      <c r="AU18" s="75"/>
      <c r="AV18" s="75"/>
      <c r="AW18" s="75"/>
      <c r="AX18" s="75"/>
      <c r="AY18" s="75"/>
      <c r="AZ18" s="75"/>
    </row>
    <row r="19" spans="1:78">
      <c r="A19" s="20" t="s">
        <v>137</v>
      </c>
      <c r="B19" s="11" t="s">
        <v>138</v>
      </c>
      <c r="C19" s="11" t="s">
        <v>152</v>
      </c>
      <c r="D19" s="11">
        <v>30</v>
      </c>
      <c r="E19" s="12">
        <v>44758</v>
      </c>
      <c r="F19" s="12" t="s">
        <v>62</v>
      </c>
      <c r="G19" s="11">
        <v>4</v>
      </c>
      <c r="H19" s="11">
        <v>5</v>
      </c>
      <c r="I19" s="11" t="e" vm="13">
        <v>#VALUE!</v>
      </c>
      <c r="J19" s="11" t="s">
        <v>33</v>
      </c>
      <c r="K19" s="11" t="s">
        <v>63</v>
      </c>
      <c r="L19" s="11" t="s">
        <v>64</v>
      </c>
      <c r="M19" s="11" t="s">
        <v>50</v>
      </c>
      <c r="N19" s="11" t="s">
        <v>66</v>
      </c>
      <c r="O19" s="12">
        <v>40128</v>
      </c>
      <c r="P19" s="11" t="s">
        <v>52</v>
      </c>
      <c r="Q19" s="25" t="s">
        <v>140</v>
      </c>
      <c r="R19" s="11">
        <v>8123456780</v>
      </c>
      <c r="S19" s="11" t="s">
        <v>69</v>
      </c>
      <c r="T19" s="11" t="s">
        <v>70</v>
      </c>
      <c r="U19" s="11" t="s">
        <v>42</v>
      </c>
      <c r="V19" s="13">
        <v>46000</v>
      </c>
      <c r="W19" s="13">
        <v>4723</v>
      </c>
      <c r="X19" s="13">
        <v>2454</v>
      </c>
      <c r="Y19" s="13">
        <v>2159</v>
      </c>
      <c r="Z19" s="13">
        <v>12524</v>
      </c>
      <c r="AA19" s="14">
        <f t="shared" si="0"/>
        <v>67860</v>
      </c>
      <c r="AB19" s="22">
        <f t="shared" si="1"/>
        <v>814320</v>
      </c>
      <c r="AC19" s="13" t="str">
        <f>IF(Table13465[[#This Row],[Performance_Rating]]&gt;5,"YES","NO")</f>
        <v>NO</v>
      </c>
      <c r="AD19" s="37">
        <f ca="1">YEARFRAC(Table13465[[#This Row],[Joining_Date]],TODAY())</f>
        <v>4.0305555555555559</v>
      </c>
      <c r="AE19" s="11" t="str">
        <f ca="1">IF(Table13465[[#This Row],[Experience]]&gt;3,"ELIGIBLE","NOT ELIGIBLE")</f>
        <v>ELIGIBLE</v>
      </c>
      <c r="AG19" s="75"/>
      <c r="AH19" s="75"/>
      <c r="AI19" s="75"/>
      <c r="AJ19" s="75"/>
      <c r="AK19" s="75"/>
      <c r="AL19" s="75"/>
      <c r="AM19" s="75"/>
      <c r="AN19" s="75"/>
      <c r="AO19" s="75"/>
      <c r="AP19" s="75"/>
      <c r="AQ19" s="75"/>
      <c r="AR19" s="75"/>
      <c r="AS19" s="75"/>
      <c r="AT19" s="75"/>
      <c r="AU19" s="75"/>
      <c r="AV19" s="75"/>
      <c r="AW19" s="75"/>
      <c r="AX19" s="75"/>
      <c r="AY19" s="75"/>
      <c r="AZ19" s="75"/>
    </row>
    <row r="20" spans="1:78">
      <c r="A20" s="20" t="s">
        <v>141</v>
      </c>
      <c r="B20" s="10" t="s">
        <v>142</v>
      </c>
      <c r="C20" s="11" t="s">
        <v>152</v>
      </c>
      <c r="D20" s="11">
        <v>27</v>
      </c>
      <c r="E20" s="12">
        <v>46005</v>
      </c>
      <c r="F20" s="12" t="s">
        <v>76</v>
      </c>
      <c r="G20" s="11">
        <v>2</v>
      </c>
      <c r="H20" s="11">
        <v>6</v>
      </c>
      <c r="I20" s="11" t="e" vm="14">
        <v>#VALUE!</v>
      </c>
      <c r="J20" s="11" t="s">
        <v>33</v>
      </c>
      <c r="K20" s="11" t="s">
        <v>34</v>
      </c>
      <c r="L20" s="11" t="s">
        <v>49</v>
      </c>
      <c r="M20" s="11" t="s">
        <v>65</v>
      </c>
      <c r="N20" s="11" t="s">
        <v>51</v>
      </c>
      <c r="O20" s="12">
        <v>40643</v>
      </c>
      <c r="P20" s="11" t="s">
        <v>38</v>
      </c>
      <c r="Q20" s="25" t="s">
        <v>143</v>
      </c>
      <c r="R20" s="11">
        <v>9087654321</v>
      </c>
      <c r="S20" s="11" t="s">
        <v>40</v>
      </c>
      <c r="T20" s="11" t="s">
        <v>41</v>
      </c>
      <c r="U20" s="11" t="s">
        <v>42</v>
      </c>
      <c r="V20" s="13">
        <v>32000</v>
      </c>
      <c r="W20" s="13">
        <v>2879</v>
      </c>
      <c r="X20" s="13">
        <v>2169</v>
      </c>
      <c r="Y20" s="13">
        <v>1695</v>
      </c>
      <c r="Z20" s="13">
        <v>14418</v>
      </c>
      <c r="AA20" s="14">
        <f t="shared" si="0"/>
        <v>53161</v>
      </c>
      <c r="AB20" s="22">
        <f t="shared" si="1"/>
        <v>637932</v>
      </c>
      <c r="AC20" s="13" t="str">
        <f>IF(Table13465[[#This Row],[Performance_Rating]]&gt;5,"YES","NO")</f>
        <v>NO</v>
      </c>
      <c r="AD20" s="37">
        <f ca="1">YEARFRAC(Table13465[[#This Row],[Joining_Date]],TODAY())</f>
        <v>0.61944444444444446</v>
      </c>
      <c r="AE20" s="11" t="str">
        <f ca="1">IF(Table13465[[#This Row],[Experience]]&gt;3,"ELIGIBLE","NOT ELIGIBLE")</f>
        <v>NOT ELIGIBLE</v>
      </c>
      <c r="AG20" s="75"/>
      <c r="AH20" s="75"/>
      <c r="AI20" s="75"/>
      <c r="AJ20" s="75"/>
      <c r="AK20" s="75"/>
      <c r="AL20" s="75"/>
      <c r="AM20" s="75"/>
      <c r="AN20" s="75"/>
      <c r="AO20" s="75"/>
      <c r="AP20" s="75"/>
      <c r="AQ20" s="75"/>
      <c r="AR20" s="75"/>
      <c r="AS20" s="75"/>
      <c r="AT20" s="75"/>
      <c r="AU20" s="75"/>
      <c r="AV20" s="75"/>
      <c r="AW20" s="75"/>
      <c r="AX20" s="75"/>
      <c r="AY20" s="75"/>
      <c r="AZ20" s="75"/>
    </row>
    <row r="21" spans="1:78" ht="15.75" customHeight="1">
      <c r="A21" s="21" t="s">
        <v>144</v>
      </c>
      <c r="B21" s="16" t="s">
        <v>145</v>
      </c>
      <c r="C21" s="15" t="s">
        <v>151</v>
      </c>
      <c r="D21" s="15">
        <v>35</v>
      </c>
      <c r="E21" s="17">
        <v>45283</v>
      </c>
      <c r="F21" s="15" t="s">
        <v>84</v>
      </c>
      <c r="G21" s="15">
        <v>2</v>
      </c>
      <c r="H21" s="15">
        <v>4</v>
      </c>
      <c r="I21" s="15" t="e" vm="13">
        <v>#VALUE!</v>
      </c>
      <c r="J21" s="15" t="s">
        <v>33</v>
      </c>
      <c r="K21" s="15" t="s">
        <v>63</v>
      </c>
      <c r="L21" s="15" t="s">
        <v>49</v>
      </c>
      <c r="M21" s="15" t="s">
        <v>65</v>
      </c>
      <c r="N21" s="15" t="s">
        <v>66</v>
      </c>
      <c r="O21" s="17">
        <v>37415</v>
      </c>
      <c r="P21" s="15" t="s">
        <v>52</v>
      </c>
      <c r="Q21" s="26" t="s">
        <v>147</v>
      </c>
      <c r="R21" s="15">
        <v>8292939495</v>
      </c>
      <c r="S21" s="15" t="s">
        <v>54</v>
      </c>
      <c r="T21" s="15" t="s">
        <v>55</v>
      </c>
      <c r="U21" s="15" t="s">
        <v>56</v>
      </c>
      <c r="V21" s="18">
        <v>50000</v>
      </c>
      <c r="W21" s="18">
        <v>4261</v>
      </c>
      <c r="X21" s="18">
        <v>2048</v>
      </c>
      <c r="Y21" s="18">
        <v>2951</v>
      </c>
      <c r="Z21" s="18">
        <v>15996</v>
      </c>
      <c r="AA21" s="19">
        <f t="shared" si="0"/>
        <v>75256</v>
      </c>
      <c r="AB21" s="23">
        <f t="shared" si="1"/>
        <v>903072</v>
      </c>
      <c r="AC21" s="18" t="str">
        <f>IF(Table13465[[#This Row],[Performance_Rating]]&gt;5,"YES","NO")</f>
        <v>NO</v>
      </c>
      <c r="AD21" s="38">
        <f ca="1">YEARFRAC(Table13465[[#This Row],[Joining_Date]],TODAY())</f>
        <v>2.5944444444444446</v>
      </c>
      <c r="AE21" s="15" t="str">
        <f ca="1">IF(Table13465[[#This Row],[Experience]]&gt;3,"ELIGIBLE","NOT ELIGIBLE")</f>
        <v>NOT ELIGIBLE</v>
      </c>
      <c r="AG21" s="75"/>
      <c r="AH21" s="75"/>
      <c r="AI21" s="75"/>
      <c r="AJ21" s="75"/>
      <c r="AK21" s="75"/>
      <c r="AL21" s="75"/>
      <c r="AM21" s="75"/>
      <c r="AN21" s="75"/>
      <c r="AO21" s="75"/>
      <c r="AP21" s="75"/>
      <c r="AQ21" s="75"/>
      <c r="AR21" s="75"/>
      <c r="AS21" s="75"/>
      <c r="AT21" s="75"/>
      <c r="AU21" s="75"/>
      <c r="AV21" s="75"/>
      <c r="AW21" s="75"/>
      <c r="AX21" s="75"/>
      <c r="AY21" s="75"/>
      <c r="AZ21" s="75"/>
    </row>
    <row r="22" spans="1:78" s="50" customFormat="1">
      <c r="A22" s="30"/>
      <c r="B22" s="52"/>
      <c r="C22" s="52"/>
      <c r="D22" s="52"/>
      <c r="E22" s="45"/>
      <c r="F22" s="45"/>
      <c r="G22" s="52"/>
      <c r="H22" s="52"/>
      <c r="I22" s="52"/>
      <c r="J22" s="52"/>
      <c r="K22" s="52"/>
      <c r="L22" s="52"/>
      <c r="M22" s="52"/>
      <c r="N22" s="52"/>
      <c r="O22" s="52"/>
      <c r="Q22" s="51"/>
      <c r="AG22" s="81"/>
      <c r="AH22" s="81"/>
      <c r="AI22" s="81"/>
      <c r="AJ22" s="81"/>
      <c r="AK22" s="81"/>
      <c r="AL22" s="81"/>
      <c r="AM22" s="81"/>
      <c r="AN22" s="81"/>
      <c r="AO22" s="81"/>
      <c r="AP22" s="81"/>
      <c r="AQ22" s="81"/>
      <c r="AR22" s="81"/>
      <c r="AS22" s="81"/>
      <c r="AT22" s="81"/>
      <c r="AU22" s="81"/>
      <c r="AV22" s="81"/>
      <c r="AW22" s="81"/>
      <c r="AX22" s="81"/>
      <c r="AY22" s="81"/>
      <c r="AZ22" s="81"/>
    </row>
    <row r="23" spans="1:78">
      <c r="A23" s="52"/>
      <c r="B23" s="170"/>
      <c r="C23" s="170"/>
      <c r="D23" s="170"/>
      <c r="E23" s="170"/>
      <c r="F23" s="45"/>
      <c r="G23" s="171"/>
      <c r="H23" s="171"/>
      <c r="I23" s="171"/>
      <c r="J23" s="171"/>
      <c r="K23" s="52"/>
      <c r="L23" s="172"/>
      <c r="M23" s="172"/>
      <c r="N23" s="172"/>
      <c r="O23" s="172"/>
      <c r="P23" s="52"/>
      <c r="Q23" s="67"/>
      <c r="R23" s="50"/>
    </row>
    <row r="24" spans="1:78">
      <c r="A24" s="52"/>
      <c r="B24" s="68"/>
      <c r="C24" s="68"/>
      <c r="D24" s="68"/>
      <c r="E24" s="68"/>
      <c r="F24" s="46"/>
      <c r="G24" s="69"/>
      <c r="H24" s="69"/>
      <c r="I24" s="69"/>
      <c r="J24" s="69"/>
      <c r="K24" s="52"/>
      <c r="L24" s="70"/>
      <c r="M24" s="70"/>
      <c r="N24" s="70"/>
      <c r="O24" s="70"/>
      <c r="P24" s="52"/>
      <c r="Q24" s="67"/>
      <c r="R24" s="50"/>
    </row>
    <row r="25" spans="1:78">
      <c r="A25" s="52"/>
      <c r="B25" s="71"/>
      <c r="C25" s="71"/>
      <c r="D25" s="71"/>
      <c r="E25" s="71"/>
      <c r="F25" s="46"/>
      <c r="G25" s="72"/>
      <c r="H25" s="72"/>
      <c r="I25" s="73"/>
      <c r="J25" s="72"/>
      <c r="K25" s="52"/>
      <c r="L25" s="74"/>
      <c r="M25" s="74"/>
      <c r="N25" s="74"/>
      <c r="O25" s="74"/>
      <c r="P25" s="52"/>
      <c r="Q25" s="67"/>
      <c r="R25" s="50"/>
    </row>
    <row r="26" spans="1:78">
      <c r="A26" s="52"/>
      <c r="B26" s="71"/>
      <c r="C26" s="71"/>
      <c r="D26" s="71"/>
      <c r="E26" s="71"/>
      <c r="F26" s="47"/>
      <c r="G26" s="72"/>
      <c r="H26" s="72"/>
      <c r="I26" s="73"/>
      <c r="J26" s="72"/>
      <c r="K26" s="52"/>
      <c r="L26" s="74"/>
      <c r="M26" s="74"/>
      <c r="N26" s="74"/>
      <c r="O26" s="74"/>
      <c r="P26" s="52"/>
      <c r="Q26" s="67"/>
      <c r="R26" s="50"/>
    </row>
    <row r="27" spans="1:78">
      <c r="A27" s="52"/>
      <c r="B27" s="71"/>
      <c r="C27" s="71"/>
      <c r="D27" s="71"/>
      <c r="E27" s="71"/>
      <c r="F27" s="47"/>
      <c r="G27" s="72"/>
      <c r="H27" s="72"/>
      <c r="I27" s="73"/>
      <c r="J27" s="72"/>
      <c r="K27" s="52"/>
      <c r="L27" s="74"/>
      <c r="M27" s="74"/>
      <c r="N27" s="74"/>
      <c r="O27" s="74"/>
      <c r="P27" s="52"/>
      <c r="Q27" s="67"/>
      <c r="R27" s="50"/>
    </row>
    <row r="28" spans="1:78">
      <c r="A28" s="52"/>
      <c r="B28" s="71"/>
      <c r="C28" s="71"/>
      <c r="D28" s="71"/>
      <c r="E28" s="71"/>
      <c r="F28" s="47"/>
      <c r="G28" s="72"/>
      <c r="H28" s="72"/>
      <c r="I28" s="73"/>
      <c r="J28" s="72"/>
      <c r="K28" s="52"/>
      <c r="L28" s="74"/>
      <c r="M28" s="74"/>
      <c r="N28" s="74"/>
      <c r="O28" s="74"/>
      <c r="P28" s="52"/>
      <c r="Q28" s="67"/>
      <c r="R28" s="50"/>
    </row>
    <row r="29" spans="1:78">
      <c r="A29" s="52"/>
      <c r="B29" s="71"/>
      <c r="C29" s="71"/>
      <c r="D29" s="71"/>
      <c r="E29" s="71"/>
      <c r="F29" s="45"/>
      <c r="G29" s="72"/>
      <c r="H29" s="72"/>
      <c r="I29" s="73"/>
      <c r="J29" s="72"/>
      <c r="K29" s="52"/>
      <c r="L29" s="74"/>
      <c r="M29" s="74"/>
      <c r="N29" s="74"/>
      <c r="O29" s="74"/>
      <c r="P29" s="52"/>
      <c r="Q29" s="67"/>
      <c r="R29" s="50"/>
    </row>
    <row r="30" spans="1:78">
      <c r="A30" s="52"/>
      <c r="B30" s="45"/>
      <c r="C30" s="45"/>
      <c r="D30" s="45"/>
      <c r="E30" s="45"/>
      <c r="F30" s="45"/>
      <c r="G30" s="52"/>
      <c r="H30" s="52"/>
      <c r="I30" s="52"/>
      <c r="J30" s="52"/>
      <c r="K30" s="52"/>
      <c r="L30" s="52"/>
      <c r="M30" s="52"/>
      <c r="N30" s="52"/>
      <c r="O30" s="52"/>
      <c r="P30" s="52"/>
      <c r="Q30" s="67"/>
      <c r="R30" s="50"/>
    </row>
    <row r="31" spans="1:78" ht="23.25">
      <c r="A31" s="52"/>
      <c r="B31" s="52"/>
      <c r="C31" s="52"/>
      <c r="D31" s="52"/>
      <c r="E31" s="52"/>
      <c r="F31" s="52"/>
      <c r="G31" s="52"/>
      <c r="H31" s="52"/>
      <c r="I31" s="52"/>
      <c r="J31" s="52"/>
      <c r="K31" s="52"/>
      <c r="L31" s="52"/>
      <c r="M31" s="52"/>
      <c r="N31" s="52"/>
      <c r="O31" s="52"/>
      <c r="P31" s="52"/>
      <c r="Q31" s="67"/>
      <c r="R31" s="50"/>
      <c r="AG31" s="143" t="s">
        <v>228</v>
      </c>
      <c r="AH31" s="143"/>
      <c r="AI31" s="143"/>
      <c r="AJ31" s="143"/>
      <c r="AK31" s="143"/>
      <c r="AL31" s="143"/>
      <c r="AM31" s="143"/>
      <c r="AN31" s="143"/>
      <c r="AO31" s="143"/>
      <c r="AP31" s="143"/>
      <c r="AQ31" s="143"/>
      <c r="AR31" s="143"/>
      <c r="AS31" s="143"/>
      <c r="AT31" s="143"/>
      <c r="AU31" s="143"/>
      <c r="AV31" s="143"/>
      <c r="AW31" s="143"/>
      <c r="AX31" s="143"/>
      <c r="AY31" s="143"/>
      <c r="AZ31" s="143"/>
      <c r="BA31" s="75"/>
      <c r="BB31" s="75"/>
      <c r="BC31" s="75"/>
      <c r="BD31" s="75"/>
      <c r="BP31" s="85" t="s">
        <v>229</v>
      </c>
      <c r="BQ31" s="85" t="s">
        <v>210</v>
      </c>
      <c r="BR31" s="86"/>
      <c r="BS31" s="87" t="s">
        <v>230</v>
      </c>
      <c r="BT31" s="87" t="s">
        <v>210</v>
      </c>
      <c r="BU31" s="86"/>
      <c r="BV31" s="88" t="s">
        <v>231</v>
      </c>
      <c r="BW31" s="88" t="s">
        <v>210</v>
      </c>
      <c r="BX31" s="86"/>
      <c r="BY31" s="89" t="s">
        <v>227</v>
      </c>
      <c r="BZ31" s="89" t="s">
        <v>210</v>
      </c>
    </row>
    <row r="32" spans="1:78">
      <c r="A32" s="52"/>
      <c r="B32" s="52"/>
      <c r="C32" s="52"/>
      <c r="D32" s="52"/>
      <c r="E32" s="52"/>
      <c r="F32" s="52"/>
      <c r="G32" s="52"/>
      <c r="H32" s="52"/>
      <c r="I32" s="52"/>
      <c r="J32" s="52"/>
      <c r="K32" s="52"/>
      <c r="L32" s="52"/>
      <c r="M32" s="52"/>
      <c r="N32" s="52"/>
      <c r="O32" s="52"/>
      <c r="P32" s="52"/>
      <c r="Q32" s="67"/>
      <c r="R32" s="50"/>
      <c r="AG32" s="75"/>
      <c r="AH32" s="75"/>
      <c r="AI32" s="75"/>
      <c r="AJ32" s="75"/>
      <c r="AK32" s="75"/>
      <c r="AL32" s="75"/>
      <c r="AM32" s="75"/>
      <c r="AN32" s="75"/>
      <c r="AO32" s="75"/>
      <c r="AP32" s="75"/>
      <c r="AQ32" s="75"/>
      <c r="AR32" s="75"/>
      <c r="AS32" s="75"/>
      <c r="AT32" s="75"/>
      <c r="AU32" s="75"/>
      <c r="AV32" s="75"/>
      <c r="AW32" s="75"/>
      <c r="AX32" s="75"/>
      <c r="AY32" s="75"/>
      <c r="AZ32" s="75"/>
      <c r="BA32" s="75"/>
      <c r="BB32" s="75"/>
      <c r="BC32" s="75"/>
      <c r="BD32" s="75"/>
      <c r="BP32" s="90" t="s">
        <v>232</v>
      </c>
      <c r="BQ32" s="90">
        <f ca="1">COUNTIFS(AD:AD,"&gt;=0",AD:AD,"&lt;2")</f>
        <v>8</v>
      </c>
      <c r="BR32" s="5"/>
      <c r="BS32" s="91" t="s">
        <v>233</v>
      </c>
      <c r="BT32" s="91">
        <f>COUNTIFS(G:G,"&gt;=8",G:G,"&lt;=10")</f>
        <v>5</v>
      </c>
      <c r="BU32" s="5"/>
      <c r="BV32" s="92" t="s">
        <v>234</v>
      </c>
      <c r="BW32" s="92">
        <f>COUNTIFS(H:H,"&gt;=0",H:H,"&lt;=3")</f>
        <v>0</v>
      </c>
      <c r="BX32" s="5"/>
      <c r="BY32" s="93" t="s">
        <v>35</v>
      </c>
      <c r="BZ32" s="93">
        <f>COUNTIF(L:L,"WFO")</f>
        <v>5</v>
      </c>
    </row>
    <row r="33" spans="1:78">
      <c r="A33" s="50"/>
      <c r="B33" s="50"/>
      <c r="C33" s="50"/>
      <c r="D33" s="50"/>
      <c r="E33" s="50"/>
      <c r="F33" s="50"/>
      <c r="G33" s="50"/>
      <c r="H33" s="50"/>
      <c r="I33" s="50"/>
      <c r="J33" s="50"/>
      <c r="K33" s="50"/>
      <c r="L33" s="50"/>
      <c r="M33" s="50"/>
      <c r="N33" s="50"/>
      <c r="O33" s="50"/>
      <c r="P33" s="50"/>
      <c r="Q33" s="51"/>
      <c r="R33" s="50"/>
      <c r="AG33" s="157" t="s">
        <v>200</v>
      </c>
      <c r="AH33" s="158"/>
      <c r="AI33" s="158"/>
      <c r="AJ33" s="155" t="s">
        <v>201</v>
      </c>
      <c r="AK33" s="156"/>
      <c r="AL33" s="156"/>
      <c r="AM33" s="153" t="s">
        <v>202</v>
      </c>
      <c r="AN33" s="154"/>
      <c r="AO33" s="154"/>
      <c r="AP33" s="150" t="s">
        <v>203</v>
      </c>
      <c r="AQ33" s="151"/>
      <c r="AR33" s="152"/>
      <c r="AS33" s="75"/>
      <c r="AT33" s="75"/>
      <c r="AU33" s="75"/>
      <c r="AV33" s="75"/>
      <c r="AW33" s="75"/>
      <c r="AX33" s="75"/>
      <c r="AY33" s="75"/>
      <c r="AZ33" s="75"/>
      <c r="BA33" s="75"/>
      <c r="BB33" s="75"/>
      <c r="BC33" s="75"/>
      <c r="BD33" s="75"/>
      <c r="BP33" s="90" t="s">
        <v>235</v>
      </c>
      <c r="BQ33" s="90">
        <f ca="1">COUNTIFS(AD:AD,"&gt;=2",AD:AD,"&lt;5")</f>
        <v>10</v>
      </c>
      <c r="BR33" s="5"/>
      <c r="BS33" s="91" t="s">
        <v>236</v>
      </c>
      <c r="BT33" s="91">
        <f>COUNTIFS(G:G,"&gt;=6",G:G,"&lt;=7")</f>
        <v>2</v>
      </c>
      <c r="BU33" s="5"/>
      <c r="BV33" s="92" t="s">
        <v>237</v>
      </c>
      <c r="BW33" s="92">
        <f>COUNTIFS(H:H,"&gt;=4",H:H,"&lt;=6")</f>
        <v>10</v>
      </c>
      <c r="BX33" s="5"/>
      <c r="BY33" s="93" t="s">
        <v>64</v>
      </c>
      <c r="BZ33" s="93">
        <f>COUNTIF(L:L,"WFH")</f>
        <v>6</v>
      </c>
    </row>
    <row r="34" spans="1:78" ht="26.25">
      <c r="A34" s="50"/>
      <c r="B34" s="50"/>
      <c r="C34" s="50"/>
      <c r="D34" s="50"/>
      <c r="E34" s="50"/>
      <c r="F34" s="50"/>
      <c r="G34" s="50"/>
      <c r="H34" s="50"/>
      <c r="I34" s="50"/>
      <c r="J34" s="50"/>
      <c r="K34" s="50"/>
      <c r="L34" s="50"/>
      <c r="M34" s="50"/>
      <c r="N34" s="50"/>
      <c r="O34" s="50"/>
      <c r="P34" s="50"/>
      <c r="Q34" s="51"/>
      <c r="R34" s="50"/>
      <c r="AG34" s="149">
        <f ca="1">ROUND(AVERAGE(AD:AD),1)</f>
        <v>2.7</v>
      </c>
      <c r="AH34" s="145"/>
      <c r="AI34" s="145"/>
      <c r="AJ34" s="148">
        <f>COUNTIF(G:G,"&gt;=8")</f>
        <v>5</v>
      </c>
      <c r="AK34" s="145"/>
      <c r="AL34" s="145"/>
      <c r="AM34" s="147">
        <f>ROUND(AVERAGE(H:H),1)</f>
        <v>6.3</v>
      </c>
      <c r="AN34" s="145"/>
      <c r="AO34" s="145"/>
      <c r="AP34" s="144">
        <f>COUNTIF(L:L,"Hybrid")</f>
        <v>9</v>
      </c>
      <c r="AQ34" s="145"/>
      <c r="AR34" s="146"/>
      <c r="AS34" s="75"/>
      <c r="AT34" s="75"/>
      <c r="AU34" s="75"/>
      <c r="AV34" s="75"/>
      <c r="AW34" s="75"/>
      <c r="AX34" s="75"/>
      <c r="AY34" s="75"/>
      <c r="AZ34" s="75"/>
      <c r="BA34" s="75"/>
      <c r="BB34" s="75"/>
      <c r="BC34" s="75"/>
      <c r="BD34" s="75"/>
      <c r="BP34" s="90" t="s">
        <v>238</v>
      </c>
      <c r="BQ34" s="90">
        <f ca="1">COUNTIFS(AD:AD,"&gt;=5")</f>
        <v>2</v>
      </c>
      <c r="BR34" s="5"/>
      <c r="BS34" s="91" t="s">
        <v>239</v>
      </c>
      <c r="BT34" s="91">
        <f>COUNTIFS(G:G,"&gt;=4",G:G,"&lt;=5")</f>
        <v>6</v>
      </c>
      <c r="BU34" s="5"/>
      <c r="BV34" s="92" t="s">
        <v>240</v>
      </c>
      <c r="BW34" s="92">
        <f>COUNTIFS(H:H,"&gt;=7",H:H,"&lt;=10")</f>
        <v>10</v>
      </c>
      <c r="BX34" s="5"/>
      <c r="BY34" s="93" t="s">
        <v>49</v>
      </c>
      <c r="BZ34" s="93">
        <f>COUNTIF(L:L,"Hybrid")</f>
        <v>9</v>
      </c>
    </row>
    <row r="35" spans="1:78" ht="26.25">
      <c r="A35" s="50"/>
      <c r="B35" s="50"/>
      <c r="C35" s="50"/>
      <c r="D35" s="50"/>
      <c r="E35" s="50"/>
      <c r="F35" s="50"/>
      <c r="G35" s="50"/>
      <c r="H35" s="50"/>
      <c r="I35" s="50"/>
      <c r="J35" s="50"/>
      <c r="K35" s="50"/>
      <c r="L35" s="50"/>
      <c r="M35" s="50"/>
      <c r="N35" s="50"/>
      <c r="O35" s="50"/>
      <c r="P35" s="50"/>
      <c r="Q35" s="51"/>
      <c r="R35" s="50"/>
      <c r="AG35" s="169"/>
      <c r="AH35" s="145"/>
      <c r="AI35" s="145"/>
      <c r="AJ35" s="148"/>
      <c r="AK35" s="145"/>
      <c r="AL35" s="145"/>
      <c r="AM35" s="168"/>
      <c r="AN35" s="145"/>
      <c r="AO35" s="145"/>
      <c r="AP35" s="144"/>
      <c r="AQ35" s="145"/>
      <c r="AR35" s="146"/>
      <c r="AS35" s="75"/>
      <c r="AT35" s="75"/>
      <c r="AU35" s="75"/>
      <c r="AV35" s="75"/>
      <c r="AW35" s="75"/>
      <c r="AX35" s="75"/>
      <c r="AY35" s="75"/>
      <c r="AZ35" s="75"/>
      <c r="BA35" s="75"/>
      <c r="BB35" s="75"/>
      <c r="BC35" s="75"/>
      <c r="BD35" s="75"/>
      <c r="BP35" s="5"/>
      <c r="BQ35" s="5"/>
      <c r="BR35" s="5"/>
      <c r="BS35" s="91" t="s">
        <v>241</v>
      </c>
      <c r="BT35" s="91">
        <f>COUNTIFS(G:G,"&gt;=1",G:G,"&lt;=3")</f>
        <v>7</v>
      </c>
      <c r="BU35" s="5"/>
      <c r="BV35" s="92" t="s">
        <v>242</v>
      </c>
      <c r="BW35" s="92">
        <f>COUNTIFS(H:H,"&gt;10")</f>
        <v>0</v>
      </c>
      <c r="BX35" s="5"/>
      <c r="BY35" s="5"/>
      <c r="BZ35" s="5"/>
    </row>
    <row r="36" spans="1:78" ht="26.25">
      <c r="A36" s="50"/>
      <c r="B36" s="50"/>
      <c r="C36" s="50"/>
      <c r="D36" s="50"/>
      <c r="E36" s="50"/>
      <c r="F36" s="50"/>
      <c r="G36" s="50"/>
      <c r="H36" s="50"/>
      <c r="I36" s="50"/>
      <c r="J36" s="50"/>
      <c r="K36" s="50"/>
      <c r="L36" s="50"/>
      <c r="M36" s="50"/>
      <c r="N36" s="50"/>
      <c r="O36" s="50"/>
      <c r="P36" s="50"/>
      <c r="Q36" s="51"/>
      <c r="R36" s="50"/>
      <c r="AG36" s="166"/>
      <c r="AH36" s="167"/>
      <c r="AI36" s="167"/>
      <c r="AJ36" s="164"/>
      <c r="AK36" s="165"/>
      <c r="AL36" s="165"/>
      <c r="AM36" s="162"/>
      <c r="AN36" s="163"/>
      <c r="AO36" s="163"/>
      <c r="AP36" s="159"/>
      <c r="AQ36" s="160"/>
      <c r="AR36" s="161"/>
      <c r="AS36" s="75"/>
      <c r="AT36" s="75"/>
      <c r="AU36" s="75"/>
      <c r="AV36" s="75"/>
      <c r="AW36" s="75"/>
      <c r="AX36" s="75"/>
      <c r="AY36" s="75"/>
      <c r="AZ36" s="75"/>
      <c r="BA36" s="75"/>
      <c r="BB36" s="75"/>
      <c r="BC36" s="75"/>
      <c r="BD36" s="75"/>
    </row>
    <row r="37" spans="1:78">
      <c r="A37" s="50"/>
      <c r="B37" s="50"/>
      <c r="C37" s="50"/>
      <c r="D37" s="50"/>
      <c r="E37" s="50"/>
      <c r="F37" s="50"/>
      <c r="G37" s="50"/>
      <c r="H37" s="50"/>
      <c r="I37" s="50"/>
      <c r="J37" s="50"/>
      <c r="K37" s="50"/>
      <c r="L37" s="50"/>
      <c r="M37" s="50"/>
      <c r="N37" s="50"/>
      <c r="O37" s="50"/>
      <c r="P37" s="50"/>
      <c r="Q37" s="51"/>
      <c r="R37" s="50"/>
      <c r="AG37" s="75"/>
      <c r="AH37" s="75"/>
      <c r="AI37" s="75"/>
      <c r="AJ37" s="75"/>
      <c r="AK37" s="75"/>
      <c r="AL37" s="75"/>
      <c r="AM37" s="75"/>
      <c r="AN37" s="75"/>
      <c r="AO37" s="75"/>
      <c r="AP37" s="75"/>
      <c r="AQ37" s="75"/>
      <c r="AR37" s="75"/>
      <c r="AS37" s="75"/>
      <c r="AT37" s="75"/>
      <c r="AU37" s="75"/>
      <c r="AV37" s="75"/>
      <c r="AW37" s="75"/>
      <c r="AX37" s="75"/>
      <c r="AY37" s="75"/>
      <c r="AZ37" s="75"/>
      <c r="BA37" s="75"/>
      <c r="BB37" s="75"/>
      <c r="BC37" s="75"/>
      <c r="BD37" s="75"/>
    </row>
    <row r="38" spans="1:78">
      <c r="A38" s="50"/>
      <c r="B38" s="50"/>
      <c r="C38" s="50"/>
      <c r="D38" s="50"/>
      <c r="E38" s="50"/>
      <c r="F38" s="50"/>
      <c r="G38" s="50"/>
      <c r="H38" s="50"/>
      <c r="I38" s="50"/>
      <c r="J38" s="50"/>
      <c r="K38" s="50"/>
      <c r="L38" s="50"/>
      <c r="M38" s="50"/>
      <c r="N38" s="50"/>
      <c r="O38" s="50"/>
      <c r="P38" s="50"/>
      <c r="Q38" s="51"/>
      <c r="R38" s="50"/>
      <c r="AG38" s="75"/>
      <c r="AH38" s="75"/>
      <c r="AI38" s="75"/>
      <c r="AJ38" s="75"/>
      <c r="AK38" s="75"/>
      <c r="AL38" s="75"/>
      <c r="AM38" s="75"/>
      <c r="AN38" s="75"/>
      <c r="AO38" s="75"/>
      <c r="AP38" s="75"/>
      <c r="AQ38" s="75"/>
      <c r="AR38" s="75"/>
      <c r="AS38" s="75"/>
      <c r="AT38" s="75"/>
      <c r="AU38" s="75"/>
      <c r="AV38" s="75"/>
      <c r="AW38" s="75"/>
      <c r="AX38" s="75"/>
      <c r="AY38" s="75"/>
      <c r="AZ38" s="75"/>
      <c r="BA38" s="75"/>
      <c r="BB38" s="75"/>
      <c r="BC38" s="75"/>
      <c r="BD38" s="75"/>
    </row>
    <row r="39" spans="1:78">
      <c r="AG39" s="75"/>
      <c r="AH39" s="75"/>
      <c r="AI39" s="75"/>
      <c r="AJ39" s="75"/>
      <c r="AK39" s="75"/>
      <c r="AL39" s="75"/>
      <c r="AM39" s="75"/>
      <c r="AN39" s="75"/>
      <c r="AO39" s="75"/>
      <c r="AP39" s="75"/>
      <c r="AQ39" s="75"/>
      <c r="AR39" s="75"/>
      <c r="AS39" s="75"/>
      <c r="AT39" s="75"/>
      <c r="AU39" s="75"/>
      <c r="AV39" s="75"/>
      <c r="AW39" s="75"/>
      <c r="AX39" s="75"/>
      <c r="AY39" s="75"/>
      <c r="AZ39" s="75"/>
      <c r="BA39" s="75"/>
      <c r="BB39" s="75"/>
      <c r="BC39" s="75"/>
      <c r="BD39" s="75"/>
    </row>
    <row r="40" spans="1:78">
      <c r="AG40" s="75"/>
      <c r="AH40" s="75"/>
      <c r="AI40" s="75"/>
      <c r="AJ40" s="75"/>
      <c r="AK40" s="75"/>
      <c r="AL40" s="75"/>
      <c r="AM40" s="75"/>
      <c r="AN40" s="75"/>
      <c r="AO40" s="75"/>
      <c r="AP40" s="75"/>
      <c r="AQ40" s="75"/>
      <c r="AR40" s="75"/>
      <c r="AS40" s="75"/>
      <c r="AT40" s="75"/>
      <c r="AU40" s="75"/>
      <c r="AV40" s="75"/>
      <c r="AW40" s="75"/>
      <c r="AX40" s="75"/>
      <c r="AY40" s="75"/>
      <c r="AZ40" s="75"/>
      <c r="BA40" s="75"/>
      <c r="BB40" s="75"/>
      <c r="BC40" s="75"/>
      <c r="BD40" s="75"/>
    </row>
    <row r="41" spans="1:78">
      <c r="AG41" s="75"/>
      <c r="AH41" s="75"/>
      <c r="AI41" s="75"/>
      <c r="AJ41" s="75"/>
      <c r="AK41" s="75"/>
      <c r="AL41" s="75"/>
      <c r="AM41" s="75"/>
      <c r="AN41" s="75"/>
      <c r="AO41" s="75"/>
      <c r="AP41" s="75"/>
      <c r="AQ41" s="75"/>
      <c r="AR41" s="75"/>
      <c r="AS41" s="75"/>
      <c r="AT41" s="75"/>
      <c r="AU41" s="75"/>
      <c r="AV41" s="75"/>
      <c r="AW41" s="75"/>
      <c r="AX41" s="75"/>
      <c r="AY41" s="75"/>
      <c r="AZ41" s="75"/>
      <c r="BA41" s="75"/>
      <c r="BB41" s="75"/>
      <c r="BC41" s="75"/>
      <c r="BD41" s="75"/>
    </row>
    <row r="42" spans="1:78">
      <c r="AG42" s="75"/>
      <c r="AH42" s="75"/>
      <c r="AI42" s="75"/>
      <c r="AJ42" s="75"/>
      <c r="AK42" s="75"/>
      <c r="AL42" s="75"/>
      <c r="AM42" s="75"/>
      <c r="AN42" s="75"/>
      <c r="AO42" s="75"/>
      <c r="AP42" s="75"/>
      <c r="AQ42" s="75"/>
      <c r="AR42" s="75"/>
      <c r="AS42" s="75"/>
      <c r="AT42" s="75"/>
      <c r="AU42" s="75"/>
      <c r="AV42" s="75"/>
      <c r="AW42" s="75"/>
      <c r="AX42" s="75"/>
      <c r="AY42" s="75"/>
      <c r="AZ42" s="75"/>
      <c r="BA42" s="75"/>
      <c r="BB42" s="75"/>
      <c r="BC42" s="75"/>
      <c r="BD42" s="75"/>
    </row>
    <row r="43" spans="1:78">
      <c r="AG43" s="75"/>
      <c r="AH43" s="75"/>
      <c r="AI43" s="75"/>
      <c r="AJ43" s="75"/>
      <c r="AK43" s="75"/>
      <c r="AL43" s="75"/>
      <c r="AM43" s="75"/>
      <c r="AN43" s="75"/>
      <c r="AO43" s="75"/>
      <c r="AP43" s="75"/>
      <c r="AQ43" s="75"/>
      <c r="AR43" s="75"/>
      <c r="AS43" s="75"/>
      <c r="AT43" s="75"/>
      <c r="AU43" s="75"/>
      <c r="AV43" s="75"/>
      <c r="AW43" s="75"/>
      <c r="AX43" s="75"/>
      <c r="AY43" s="75"/>
      <c r="AZ43" s="75"/>
      <c r="BA43" s="75"/>
      <c r="BB43" s="75"/>
      <c r="BC43" s="75"/>
      <c r="BD43" s="75"/>
    </row>
    <row r="44" spans="1:78">
      <c r="AG44" s="75"/>
      <c r="AH44" s="75"/>
      <c r="AI44" s="75"/>
      <c r="AJ44" s="75"/>
      <c r="AK44" s="75"/>
      <c r="AL44" s="75"/>
      <c r="AM44" s="75"/>
      <c r="AN44" s="75"/>
      <c r="AO44" s="75"/>
      <c r="AP44" s="75"/>
      <c r="AQ44" s="75"/>
      <c r="AR44" s="75"/>
      <c r="AS44" s="75"/>
      <c r="AT44" s="75"/>
      <c r="AU44" s="75"/>
      <c r="AV44" s="75"/>
      <c r="AW44" s="75"/>
      <c r="AX44" s="75"/>
      <c r="AY44" s="75"/>
      <c r="AZ44" s="75"/>
      <c r="BA44" s="75"/>
      <c r="BB44" s="75"/>
      <c r="BC44" s="75"/>
      <c r="BD44" s="75"/>
    </row>
    <row r="45" spans="1:78">
      <c r="AG45" s="75"/>
      <c r="AH45" s="75"/>
      <c r="AI45" s="75"/>
      <c r="AJ45" s="75"/>
      <c r="AK45" s="75"/>
      <c r="AL45" s="75"/>
      <c r="AM45" s="75"/>
      <c r="AN45" s="75"/>
      <c r="AO45" s="75"/>
      <c r="AP45" s="75"/>
      <c r="AQ45" s="75"/>
      <c r="AR45" s="75"/>
      <c r="AS45" s="75"/>
      <c r="AT45" s="75"/>
      <c r="AU45" s="75"/>
      <c r="AV45" s="75"/>
      <c r="AW45" s="75"/>
      <c r="AX45" s="75"/>
      <c r="AY45" s="75"/>
      <c r="AZ45" s="75"/>
      <c r="BA45" s="75"/>
      <c r="BB45" s="75"/>
      <c r="BC45" s="75"/>
      <c r="BD45" s="75"/>
    </row>
    <row r="46" spans="1:78">
      <c r="AG46" s="75"/>
      <c r="AH46" s="75"/>
      <c r="AI46" s="75"/>
      <c r="AJ46" s="75"/>
      <c r="AK46" s="75"/>
      <c r="AL46" s="75"/>
      <c r="AM46" s="75"/>
      <c r="AN46" s="75"/>
      <c r="AO46" s="75"/>
      <c r="AP46" s="75"/>
      <c r="AQ46" s="75"/>
      <c r="AR46" s="75"/>
      <c r="AS46" s="75"/>
      <c r="AT46" s="75"/>
      <c r="AU46" s="75"/>
      <c r="AV46" s="75"/>
      <c r="AW46" s="75"/>
      <c r="AX46" s="75"/>
      <c r="AY46" s="75"/>
      <c r="AZ46" s="75"/>
      <c r="BA46" s="75"/>
      <c r="BB46" s="75"/>
      <c r="BC46" s="75"/>
      <c r="BD46" s="75"/>
    </row>
    <row r="47" spans="1:78">
      <c r="AG47" s="75"/>
      <c r="AH47" s="75"/>
      <c r="AI47" s="75"/>
      <c r="AJ47" s="75"/>
      <c r="AK47" s="75"/>
      <c r="AL47" s="75"/>
      <c r="AM47" s="75"/>
      <c r="AN47" s="75"/>
      <c r="AO47" s="75"/>
      <c r="AP47" s="75"/>
      <c r="AQ47" s="75"/>
      <c r="AR47" s="75"/>
      <c r="AS47" s="75"/>
      <c r="AT47" s="75"/>
      <c r="AU47" s="75"/>
      <c r="AV47" s="75"/>
      <c r="AW47" s="75"/>
      <c r="AX47" s="75"/>
      <c r="AY47" s="75"/>
      <c r="AZ47" s="75"/>
      <c r="BA47" s="75"/>
      <c r="BB47" s="75"/>
      <c r="BC47" s="75"/>
      <c r="BD47" s="75"/>
    </row>
    <row r="48" spans="1:78">
      <c r="AG48" s="75"/>
      <c r="AH48" s="75"/>
      <c r="AI48" s="75"/>
      <c r="AJ48" s="75"/>
      <c r="AK48" s="75"/>
      <c r="AL48" s="75"/>
      <c r="AM48" s="75"/>
      <c r="AN48" s="75"/>
      <c r="AO48" s="75"/>
      <c r="AP48" s="75"/>
      <c r="AQ48" s="75"/>
      <c r="AR48" s="75"/>
      <c r="AS48" s="75"/>
      <c r="AT48" s="75"/>
      <c r="AU48" s="75"/>
      <c r="AV48" s="75"/>
      <c r="AW48" s="75"/>
      <c r="AX48" s="75"/>
      <c r="AY48" s="75"/>
      <c r="AZ48" s="75"/>
      <c r="BA48" s="75"/>
      <c r="BB48" s="75"/>
      <c r="BC48" s="75"/>
      <c r="BD48" s="75"/>
    </row>
    <row r="49" spans="17:56">
      <c r="AG49" s="75"/>
      <c r="AH49" s="75"/>
      <c r="AI49" s="75"/>
      <c r="AJ49" s="75"/>
      <c r="AK49" s="75"/>
      <c r="AL49" s="75"/>
      <c r="AM49" s="75"/>
      <c r="AN49" s="75"/>
      <c r="AO49" s="75"/>
      <c r="AP49" s="75"/>
      <c r="AQ49" s="75"/>
      <c r="AR49" s="75"/>
      <c r="AS49" s="75"/>
      <c r="AT49" s="75"/>
      <c r="AU49" s="75"/>
      <c r="AV49" s="75"/>
      <c r="AW49" s="75"/>
      <c r="AX49" s="75"/>
      <c r="AY49" s="75"/>
      <c r="AZ49" s="75"/>
      <c r="BA49" s="75"/>
      <c r="BB49" s="75"/>
      <c r="BC49" s="75"/>
      <c r="BD49" s="75"/>
    </row>
    <row r="50" spans="17:56">
      <c r="AG50" s="75"/>
      <c r="AH50" s="75"/>
      <c r="AI50" s="75"/>
      <c r="AJ50" s="75"/>
      <c r="AK50" s="75"/>
      <c r="AL50" s="75"/>
      <c r="AM50" s="75"/>
      <c r="AN50" s="75"/>
      <c r="AO50" s="75"/>
      <c r="AP50" s="75"/>
      <c r="AQ50" s="75"/>
      <c r="AR50" s="75"/>
      <c r="AS50" s="75"/>
      <c r="AT50" s="75"/>
      <c r="AU50" s="75"/>
      <c r="AV50" s="75"/>
      <c r="AW50" s="75"/>
      <c r="AX50" s="75"/>
      <c r="AY50" s="75"/>
      <c r="AZ50" s="75"/>
      <c r="BA50" s="75"/>
      <c r="BB50" s="75"/>
      <c r="BC50" s="75"/>
      <c r="BD50" s="75"/>
    </row>
    <row r="51" spans="17:56">
      <c r="AG51" s="75"/>
      <c r="AH51" s="75"/>
      <c r="AI51" s="75"/>
      <c r="AJ51" s="75"/>
      <c r="AK51" s="75"/>
      <c r="AL51" s="75"/>
      <c r="AM51" s="75"/>
      <c r="AN51" s="75"/>
      <c r="AO51" s="75"/>
      <c r="AP51" s="75"/>
      <c r="AQ51" s="75"/>
      <c r="AR51" s="75"/>
      <c r="AS51" s="75"/>
      <c r="AT51" s="75"/>
      <c r="AU51" s="75"/>
      <c r="AV51" s="75"/>
      <c r="AW51" s="75"/>
      <c r="AX51" s="75"/>
      <c r="AY51" s="75"/>
      <c r="AZ51" s="75"/>
      <c r="BA51" s="75"/>
      <c r="BB51" s="75"/>
      <c r="BC51" s="75"/>
      <c r="BD51" s="75"/>
    </row>
    <row r="52" spans="17:56">
      <c r="AG52" s="75"/>
      <c r="AH52" s="75"/>
      <c r="AI52" s="75"/>
      <c r="AJ52" s="75"/>
      <c r="AK52" s="75"/>
      <c r="AL52" s="75"/>
      <c r="AM52" s="75"/>
      <c r="AN52" s="75"/>
      <c r="AO52" s="75"/>
      <c r="AP52" s="75"/>
      <c r="AQ52" s="75"/>
      <c r="AR52" s="75"/>
      <c r="AS52" s="75"/>
      <c r="AT52" s="75"/>
      <c r="AU52" s="75"/>
      <c r="AV52" s="75"/>
      <c r="AW52" s="75"/>
      <c r="AX52" s="75"/>
      <c r="AY52" s="75"/>
      <c r="AZ52" s="75"/>
      <c r="BA52" s="75"/>
      <c r="BB52" s="75"/>
      <c r="BC52" s="75"/>
      <c r="BD52" s="75"/>
    </row>
    <row r="53" spans="17:56">
      <c r="Q53"/>
    </row>
    <row r="54" spans="17:56">
      <c r="Q54"/>
    </row>
    <row r="55" spans="17:56">
      <c r="Q55"/>
    </row>
    <row r="56" spans="17:56" ht="23.25">
      <c r="Q56"/>
      <c r="R56" s="143" t="s">
        <v>228</v>
      </c>
      <c r="S56" s="143"/>
      <c r="T56" s="143"/>
      <c r="U56" s="143"/>
      <c r="V56" s="143"/>
      <c r="W56" s="143"/>
      <c r="X56" s="143"/>
      <c r="Y56" s="143"/>
      <c r="Z56" s="143"/>
      <c r="AA56" s="143"/>
      <c r="AB56" s="143"/>
      <c r="AC56" s="143"/>
      <c r="AD56" s="143"/>
      <c r="AE56" s="143"/>
      <c r="AF56" s="143"/>
      <c r="AG56" s="143"/>
      <c r="AH56" s="143"/>
      <c r="AI56" s="143"/>
      <c r="AJ56" s="143"/>
      <c r="AK56" s="143"/>
      <c r="AL56" s="75"/>
      <c r="AM56" s="75"/>
      <c r="AN56" s="75"/>
      <c r="AO56" s="75"/>
    </row>
    <row r="57" spans="17:56">
      <c r="Q57"/>
      <c r="R57" s="75"/>
      <c r="S57" s="75"/>
      <c r="T57" s="75"/>
      <c r="U57" s="75"/>
      <c r="V57" s="75"/>
      <c r="W57" s="75"/>
      <c r="X57" s="75"/>
      <c r="Y57" s="75"/>
      <c r="Z57" s="75"/>
      <c r="AA57" s="75"/>
      <c r="AB57" s="75"/>
      <c r="AC57" s="75"/>
      <c r="AD57" s="75"/>
      <c r="AE57" s="75"/>
      <c r="AF57" s="75"/>
      <c r="AG57" s="75"/>
      <c r="AH57" s="75"/>
      <c r="AI57" s="75"/>
      <c r="AJ57" s="75"/>
      <c r="AK57" s="75"/>
      <c r="AL57" s="75"/>
      <c r="AM57" s="75"/>
      <c r="AN57" s="75"/>
      <c r="AO57" s="75"/>
    </row>
    <row r="58" spans="17:56">
      <c r="Q58"/>
      <c r="R58" s="157" t="s">
        <v>200</v>
      </c>
      <c r="S58" s="158"/>
      <c r="T58" s="158"/>
      <c r="U58" s="155" t="s">
        <v>201</v>
      </c>
      <c r="V58" s="156"/>
      <c r="W58" s="156"/>
      <c r="X58" s="153" t="s">
        <v>202</v>
      </c>
      <c r="Y58" s="154"/>
      <c r="Z58" s="154"/>
      <c r="AA58" s="150" t="s">
        <v>203</v>
      </c>
      <c r="AB58" s="151"/>
      <c r="AC58" s="152"/>
      <c r="AD58" s="75"/>
      <c r="AE58" s="75"/>
      <c r="AF58" s="75"/>
      <c r="AG58" s="75"/>
      <c r="AH58" s="75"/>
      <c r="AI58" s="75"/>
      <c r="AJ58" s="75"/>
      <c r="AK58" s="75"/>
      <c r="AL58" s="75"/>
      <c r="AM58" s="75"/>
      <c r="AN58" s="75"/>
      <c r="AO58" s="75"/>
    </row>
    <row r="59" spans="17:56" ht="26.25">
      <c r="Q59"/>
      <c r="R59" s="149">
        <f>ROUND(AVERAGE(O:O),1)</f>
        <v>40565.800000000003</v>
      </c>
      <c r="S59" s="145"/>
      <c r="T59" s="145"/>
      <c r="U59" s="148" t="e">
        <f>COUNTIF(#REF!,"&gt;=8")</f>
        <v>#REF!</v>
      </c>
      <c r="V59" s="145"/>
      <c r="W59" s="145"/>
      <c r="X59" s="147" t="e">
        <f>ROUND(AVERAGE(#REF!),1)</f>
        <v>#REF!</v>
      </c>
      <c r="Y59" s="145"/>
      <c r="Z59" s="145"/>
      <c r="AA59" s="144" t="e">
        <f>COUNTIF(#REF!,"Hybrid")</f>
        <v>#REF!</v>
      </c>
      <c r="AB59" s="145"/>
      <c r="AC59" s="146"/>
      <c r="AD59" s="75"/>
      <c r="AE59" s="75"/>
      <c r="AF59" s="75"/>
      <c r="AG59" s="75"/>
      <c r="AH59" s="75"/>
      <c r="AI59" s="75"/>
      <c r="AJ59" s="75"/>
      <c r="AK59" s="75"/>
      <c r="AL59" s="75"/>
      <c r="AM59" s="75"/>
      <c r="AN59" s="75"/>
      <c r="AO59" s="75"/>
    </row>
    <row r="60" spans="17:56" ht="26.25">
      <c r="Q60"/>
      <c r="R60" s="169"/>
      <c r="S60" s="145"/>
      <c r="T60" s="145"/>
      <c r="U60" s="148"/>
      <c r="V60" s="145"/>
      <c r="W60" s="145"/>
      <c r="X60" s="168"/>
      <c r="Y60" s="145"/>
      <c r="Z60" s="145"/>
      <c r="AA60" s="144"/>
      <c r="AB60" s="145"/>
      <c r="AC60" s="146"/>
      <c r="AD60" s="75"/>
      <c r="AE60" s="75"/>
      <c r="AF60" s="75"/>
      <c r="AG60" s="75"/>
      <c r="AH60" s="75"/>
      <c r="AI60" s="75"/>
      <c r="AJ60" s="75"/>
      <c r="AK60" s="75"/>
      <c r="AL60" s="75"/>
      <c r="AM60" s="75"/>
      <c r="AN60" s="75"/>
      <c r="AO60" s="75"/>
    </row>
    <row r="61" spans="17:56" ht="26.25">
      <c r="Q61"/>
      <c r="R61" s="166"/>
      <c r="S61" s="167"/>
      <c r="T61" s="167"/>
      <c r="U61" s="164"/>
      <c r="V61" s="165"/>
      <c r="W61" s="165"/>
      <c r="X61" s="162"/>
      <c r="Y61" s="163"/>
      <c r="Z61" s="163"/>
      <c r="AA61" s="159"/>
      <c r="AB61" s="160"/>
      <c r="AC61" s="161"/>
      <c r="AD61" s="75"/>
      <c r="AE61" s="75"/>
      <c r="AF61" s="75"/>
      <c r="AG61" s="75"/>
      <c r="AH61" s="75"/>
      <c r="AI61" s="75"/>
      <c r="AJ61" s="75"/>
      <c r="AK61" s="75"/>
      <c r="AL61" s="75"/>
      <c r="AM61" s="75"/>
      <c r="AN61" s="75"/>
      <c r="AO61" s="75"/>
    </row>
    <row r="62" spans="17:56">
      <c r="Q62"/>
      <c r="R62" s="75"/>
      <c r="S62" s="75"/>
      <c r="T62" s="75"/>
      <c r="U62" s="75"/>
      <c r="V62" s="75"/>
      <c r="W62" s="75"/>
      <c r="X62" s="75"/>
      <c r="Y62" s="75"/>
      <c r="Z62" s="75"/>
      <c r="AA62" s="75"/>
      <c r="AB62" s="75"/>
      <c r="AC62" s="75"/>
      <c r="AD62" s="75"/>
      <c r="AE62" s="75"/>
      <c r="AF62" s="75"/>
      <c r="AG62" s="75"/>
      <c r="AH62" s="75"/>
      <c r="AI62" s="75"/>
      <c r="AJ62" s="75"/>
      <c r="AK62" s="75"/>
      <c r="AL62" s="75"/>
      <c r="AM62" s="75"/>
      <c r="AN62" s="75"/>
      <c r="AO62" s="75"/>
    </row>
    <row r="63" spans="17:56">
      <c r="Q63"/>
      <c r="R63" s="75"/>
      <c r="S63" s="75"/>
      <c r="T63" s="75"/>
      <c r="U63" s="75"/>
      <c r="V63" s="75"/>
      <c r="W63" s="75"/>
      <c r="X63" s="75"/>
      <c r="Y63" s="75"/>
      <c r="Z63" s="75"/>
      <c r="AA63" s="75"/>
      <c r="AB63" s="75"/>
      <c r="AC63" s="75"/>
      <c r="AD63" s="75"/>
      <c r="AE63" s="75"/>
      <c r="AF63" s="75"/>
      <c r="AG63" s="75"/>
      <c r="AH63" s="75"/>
      <c r="AI63" s="75"/>
      <c r="AJ63" s="75"/>
      <c r="AK63" s="75"/>
      <c r="AL63" s="75"/>
      <c r="AM63" s="75"/>
      <c r="AN63" s="75"/>
      <c r="AO63" s="75"/>
    </row>
    <row r="64" spans="17:56">
      <c r="Q64"/>
      <c r="R64" s="75"/>
      <c r="S64" s="75"/>
      <c r="T64" s="75"/>
      <c r="U64" s="75"/>
      <c r="V64" s="75"/>
      <c r="W64" s="75"/>
      <c r="X64" s="75"/>
      <c r="Y64" s="75"/>
      <c r="Z64" s="75"/>
      <c r="AA64" s="75"/>
      <c r="AB64" s="75"/>
      <c r="AC64" s="75"/>
      <c r="AD64" s="75"/>
      <c r="AE64" s="75"/>
      <c r="AF64" s="75"/>
      <c r="AG64" s="75"/>
      <c r="AH64" s="75"/>
      <c r="AI64" s="75"/>
      <c r="AJ64" s="75"/>
      <c r="AK64" s="75"/>
      <c r="AL64" s="75"/>
      <c r="AM64" s="75"/>
      <c r="AN64" s="75"/>
      <c r="AO64" s="75"/>
    </row>
    <row r="65" spans="17:41">
      <c r="Q65"/>
      <c r="R65" s="75"/>
      <c r="S65" s="75"/>
      <c r="T65" s="75"/>
      <c r="U65" s="75"/>
      <c r="V65" s="75"/>
      <c r="W65" s="75"/>
      <c r="X65" s="75"/>
      <c r="Y65" s="75"/>
      <c r="Z65" s="75"/>
      <c r="AA65" s="75"/>
      <c r="AB65" s="75"/>
      <c r="AC65" s="75"/>
      <c r="AD65" s="75"/>
      <c r="AE65" s="75"/>
      <c r="AF65" s="75"/>
      <c r="AG65" s="75"/>
      <c r="AH65" s="75"/>
      <c r="AI65" s="75"/>
      <c r="AJ65" s="75"/>
      <c r="AK65" s="75"/>
      <c r="AL65" s="75"/>
      <c r="AM65" s="75"/>
      <c r="AN65" s="75"/>
      <c r="AO65" s="75"/>
    </row>
    <row r="66" spans="17:41">
      <c r="Q66"/>
      <c r="R66" s="75"/>
      <c r="S66" s="75"/>
      <c r="T66" s="75"/>
      <c r="U66" s="75"/>
      <c r="V66" s="75"/>
      <c r="W66" s="75"/>
      <c r="X66" s="75"/>
      <c r="Y66" s="75"/>
      <c r="Z66" s="75"/>
      <c r="AA66" s="75"/>
      <c r="AB66" s="75"/>
      <c r="AC66" s="75"/>
      <c r="AD66" s="75"/>
      <c r="AE66" s="75"/>
      <c r="AF66" s="75"/>
      <c r="AG66" s="75"/>
      <c r="AH66" s="75"/>
      <c r="AI66" s="75"/>
      <c r="AJ66" s="75"/>
      <c r="AK66" s="75"/>
      <c r="AL66" s="75"/>
      <c r="AM66" s="75"/>
      <c r="AN66" s="75"/>
      <c r="AO66" s="75"/>
    </row>
    <row r="67" spans="17:41">
      <c r="Q67"/>
      <c r="R67" s="75"/>
      <c r="S67" s="75"/>
      <c r="T67" s="75"/>
      <c r="U67" s="75"/>
      <c r="V67" s="75"/>
      <c r="W67" s="75"/>
      <c r="X67" s="75"/>
      <c r="Y67" s="75"/>
      <c r="Z67" s="75"/>
      <c r="AA67" s="75"/>
      <c r="AB67" s="75"/>
      <c r="AC67" s="75"/>
      <c r="AD67" s="75"/>
      <c r="AE67" s="75"/>
      <c r="AF67" s="75"/>
      <c r="AG67" s="75"/>
      <c r="AH67" s="75"/>
      <c r="AI67" s="75"/>
      <c r="AJ67" s="75"/>
      <c r="AK67" s="75"/>
      <c r="AL67" s="75"/>
      <c r="AM67" s="75"/>
      <c r="AN67" s="75"/>
      <c r="AO67" s="75"/>
    </row>
    <row r="68" spans="17:41">
      <c r="Q68"/>
      <c r="R68" s="75"/>
      <c r="S68" s="75"/>
      <c r="T68" s="75"/>
      <c r="U68" s="75"/>
      <c r="V68" s="75"/>
      <c r="W68" s="75"/>
      <c r="X68" s="75"/>
      <c r="Y68" s="75"/>
      <c r="Z68" s="75"/>
      <c r="AA68" s="75"/>
      <c r="AB68" s="75"/>
      <c r="AC68" s="75"/>
      <c r="AD68" s="75"/>
      <c r="AE68" s="75"/>
      <c r="AF68" s="75"/>
      <c r="AG68" s="75"/>
      <c r="AH68" s="75"/>
      <c r="AI68" s="75"/>
      <c r="AJ68" s="75"/>
      <c r="AK68" s="75"/>
      <c r="AL68" s="75"/>
      <c r="AM68" s="75"/>
      <c r="AN68" s="75"/>
      <c r="AO68" s="75"/>
    </row>
    <row r="69" spans="17:41">
      <c r="Q69"/>
      <c r="R69" s="75"/>
      <c r="S69" s="75"/>
      <c r="T69" s="75"/>
      <c r="U69" s="75"/>
      <c r="V69" s="75"/>
      <c r="W69" s="75"/>
      <c r="X69" s="75"/>
      <c r="Y69" s="75"/>
      <c r="Z69" s="75"/>
      <c r="AA69" s="75"/>
      <c r="AB69" s="75"/>
      <c r="AC69" s="75"/>
      <c r="AD69" s="75"/>
      <c r="AE69" s="75"/>
      <c r="AF69" s="75"/>
      <c r="AG69" s="75"/>
      <c r="AH69" s="75"/>
      <c r="AI69" s="75"/>
      <c r="AJ69" s="75"/>
      <c r="AK69" s="75"/>
      <c r="AL69" s="75"/>
      <c r="AM69" s="75"/>
      <c r="AN69" s="75"/>
      <c r="AO69" s="75"/>
    </row>
    <row r="70" spans="17:41">
      <c r="Q70"/>
      <c r="R70" s="75"/>
      <c r="S70" s="75"/>
      <c r="T70" s="75"/>
      <c r="U70" s="75"/>
      <c r="V70" s="75"/>
      <c r="W70" s="75"/>
      <c r="X70" s="75"/>
      <c r="Y70" s="75"/>
      <c r="Z70" s="75"/>
      <c r="AA70" s="75"/>
      <c r="AB70" s="75"/>
      <c r="AC70" s="75"/>
      <c r="AD70" s="75"/>
      <c r="AE70" s="75"/>
      <c r="AF70" s="75"/>
      <c r="AG70" s="75"/>
      <c r="AH70" s="75"/>
      <c r="AI70" s="75"/>
      <c r="AJ70" s="75"/>
      <c r="AK70" s="75"/>
      <c r="AL70" s="75"/>
      <c r="AM70" s="75"/>
      <c r="AN70" s="75"/>
      <c r="AO70" s="75"/>
    </row>
    <row r="71" spans="17:41">
      <c r="Q71"/>
      <c r="R71" s="75"/>
      <c r="S71" s="75"/>
      <c r="T71" s="75"/>
      <c r="U71" s="75"/>
      <c r="V71" s="75"/>
      <c r="W71" s="75"/>
      <c r="X71" s="75"/>
      <c r="Y71" s="75"/>
      <c r="Z71" s="75"/>
      <c r="AA71" s="75"/>
      <c r="AB71" s="75"/>
      <c r="AC71" s="75"/>
      <c r="AD71" s="75"/>
      <c r="AE71" s="75"/>
      <c r="AF71" s="75"/>
      <c r="AG71" s="75"/>
      <c r="AH71" s="75"/>
      <c r="AI71" s="75"/>
      <c r="AJ71" s="75"/>
      <c r="AK71" s="75"/>
      <c r="AL71" s="75"/>
      <c r="AM71" s="75"/>
      <c r="AN71" s="75"/>
      <c r="AO71" s="75"/>
    </row>
    <row r="72" spans="17:41">
      <c r="Q72"/>
      <c r="R72" s="75"/>
      <c r="S72" s="75"/>
      <c r="T72" s="75"/>
      <c r="U72" s="75"/>
      <c r="V72" s="75"/>
      <c r="W72" s="75"/>
      <c r="X72" s="75"/>
      <c r="Y72" s="75"/>
      <c r="Z72" s="75"/>
      <c r="AA72" s="75"/>
      <c r="AB72" s="75"/>
      <c r="AC72" s="75"/>
      <c r="AD72" s="75"/>
      <c r="AE72" s="75"/>
      <c r="AF72" s="75"/>
      <c r="AG72" s="75"/>
      <c r="AH72" s="75"/>
      <c r="AI72" s="75"/>
      <c r="AJ72" s="75"/>
      <c r="AK72" s="75"/>
      <c r="AL72" s="75"/>
      <c r="AM72" s="75"/>
      <c r="AN72" s="75"/>
      <c r="AO72" s="75"/>
    </row>
    <row r="73" spans="17:41">
      <c r="Q73"/>
      <c r="R73" s="75"/>
      <c r="S73" s="75"/>
      <c r="T73" s="75"/>
      <c r="U73" s="75"/>
      <c r="V73" s="75"/>
      <c r="W73" s="75"/>
      <c r="X73" s="75"/>
      <c r="Y73" s="75"/>
      <c r="Z73" s="75"/>
      <c r="AA73" s="75"/>
      <c r="AB73" s="75"/>
      <c r="AC73" s="75"/>
      <c r="AD73" s="75"/>
      <c r="AE73" s="75"/>
      <c r="AF73" s="75"/>
      <c r="AG73" s="75"/>
      <c r="AH73" s="75"/>
      <c r="AI73" s="75"/>
      <c r="AJ73" s="75"/>
      <c r="AK73" s="75"/>
      <c r="AL73" s="75"/>
      <c r="AM73" s="75"/>
      <c r="AN73" s="75"/>
      <c r="AO73" s="75"/>
    </row>
    <row r="74" spans="17:41">
      <c r="Q74"/>
      <c r="R74" s="75"/>
      <c r="S74" s="75"/>
      <c r="T74" s="75"/>
      <c r="U74" s="75"/>
      <c r="V74" s="75"/>
      <c r="W74" s="75"/>
      <c r="X74" s="75"/>
      <c r="Y74" s="75"/>
      <c r="Z74" s="75"/>
      <c r="AA74" s="75"/>
      <c r="AB74" s="75"/>
      <c r="AC74" s="75"/>
      <c r="AD74" s="75"/>
      <c r="AE74" s="75"/>
      <c r="AF74" s="75"/>
      <c r="AG74" s="75"/>
      <c r="AH74" s="75"/>
      <c r="AI74" s="75"/>
      <c r="AJ74" s="75"/>
      <c r="AK74" s="75"/>
      <c r="AL74" s="75"/>
      <c r="AM74" s="75"/>
      <c r="AN74" s="75"/>
      <c r="AO74" s="75"/>
    </row>
    <row r="75" spans="17:41">
      <c r="Q75"/>
      <c r="R75" s="75"/>
      <c r="S75" s="75"/>
      <c r="T75" s="75"/>
      <c r="U75" s="75"/>
      <c r="V75" s="75"/>
      <c r="W75" s="75"/>
      <c r="X75" s="75"/>
      <c r="Y75" s="75"/>
      <c r="Z75" s="75"/>
      <c r="AA75" s="75"/>
      <c r="AB75" s="75"/>
      <c r="AC75" s="75"/>
      <c r="AD75" s="75"/>
      <c r="AE75" s="75"/>
      <c r="AF75" s="75"/>
      <c r="AG75" s="75"/>
      <c r="AH75" s="75"/>
      <c r="AI75" s="75"/>
      <c r="AJ75" s="75"/>
      <c r="AK75" s="75"/>
      <c r="AL75" s="75"/>
      <c r="AM75" s="75"/>
      <c r="AN75" s="75"/>
      <c r="AO75" s="75"/>
    </row>
    <row r="76" spans="17:41">
      <c r="Q76"/>
      <c r="R76" s="75"/>
      <c r="S76" s="75"/>
      <c r="T76" s="75"/>
      <c r="U76" s="75"/>
      <c r="V76" s="75"/>
      <c r="W76" s="75"/>
      <c r="X76" s="75"/>
      <c r="Y76" s="75"/>
      <c r="Z76" s="75"/>
      <c r="AA76" s="75"/>
      <c r="AB76" s="75"/>
      <c r="AC76" s="75"/>
      <c r="AD76" s="75"/>
      <c r="AE76" s="75"/>
      <c r="AF76" s="75"/>
      <c r="AG76" s="75"/>
      <c r="AH76" s="75"/>
      <c r="AI76" s="75"/>
      <c r="AJ76" s="75"/>
      <c r="AK76" s="75"/>
      <c r="AL76" s="75"/>
      <c r="AM76" s="75"/>
      <c r="AN76" s="75"/>
      <c r="AO76" s="75"/>
    </row>
    <row r="77" spans="17:41">
      <c r="Q77"/>
      <c r="R77" s="75"/>
      <c r="S77" s="75"/>
      <c r="T77" s="75"/>
      <c r="U77" s="75"/>
      <c r="V77" s="75"/>
      <c r="W77" s="75"/>
      <c r="X77" s="75"/>
      <c r="Y77" s="75"/>
      <c r="Z77" s="75"/>
      <c r="AA77" s="75"/>
      <c r="AB77" s="75"/>
      <c r="AC77" s="75"/>
      <c r="AD77" s="75"/>
      <c r="AE77" s="75"/>
      <c r="AF77" s="75"/>
      <c r="AG77" s="75"/>
      <c r="AH77" s="75"/>
      <c r="AI77" s="75"/>
      <c r="AJ77" s="75"/>
      <c r="AK77" s="75"/>
      <c r="AL77" s="75"/>
      <c r="AM77" s="75"/>
      <c r="AN77" s="75"/>
      <c r="AO77" s="75"/>
    </row>
    <row r="78" spans="17:41">
      <c r="Q78"/>
    </row>
    <row r="79" spans="17:41">
      <c r="Q79"/>
    </row>
    <row r="80" spans="17:41">
      <c r="Q80"/>
    </row>
    <row r="81" spans="17:17">
      <c r="Q81"/>
    </row>
  </sheetData>
  <mergeCells count="38">
    <mergeCell ref="B23:E23"/>
    <mergeCell ref="G23:J23"/>
    <mergeCell ref="L23:O23"/>
    <mergeCell ref="AG1:AZ1"/>
    <mergeCell ref="AG31:AZ31"/>
    <mergeCell ref="AG34:AI34"/>
    <mergeCell ref="AG35:AI35"/>
    <mergeCell ref="AG36:AI36"/>
    <mergeCell ref="AJ33:AL33"/>
    <mergeCell ref="AJ34:AL34"/>
    <mergeCell ref="AJ35:AL35"/>
    <mergeCell ref="AJ36:AL36"/>
    <mergeCell ref="AG33:AI33"/>
    <mergeCell ref="AM34:AO34"/>
    <mergeCell ref="AM35:AO35"/>
    <mergeCell ref="AM36:AO36"/>
    <mergeCell ref="AP33:AR33"/>
    <mergeCell ref="AP34:AR34"/>
    <mergeCell ref="AP35:AR35"/>
    <mergeCell ref="AP36:AR36"/>
    <mergeCell ref="AM33:AO33"/>
    <mergeCell ref="AA61:AC61"/>
    <mergeCell ref="X61:Z61"/>
    <mergeCell ref="U61:W61"/>
    <mergeCell ref="R61:T61"/>
    <mergeCell ref="AA60:AC60"/>
    <mergeCell ref="X60:Z60"/>
    <mergeCell ref="U60:W60"/>
    <mergeCell ref="R60:T60"/>
    <mergeCell ref="R56:AK56"/>
    <mergeCell ref="AA59:AC59"/>
    <mergeCell ref="X59:Z59"/>
    <mergeCell ref="U59:W59"/>
    <mergeCell ref="R59:T59"/>
    <mergeCell ref="AA58:AC58"/>
    <mergeCell ref="X58:Z58"/>
    <mergeCell ref="U58:W58"/>
    <mergeCell ref="R58:T58"/>
  </mergeCells>
  <hyperlinks>
    <hyperlink ref="Q21" r:id="rId1" xr:uid="{4C32EA3A-40DC-4F21-AD0A-F8626C1ED86D}"/>
    <hyperlink ref="Q20" r:id="rId2" xr:uid="{121804AB-7047-4E06-BB2B-180EE1B5D296}"/>
    <hyperlink ref="Q19" r:id="rId3" xr:uid="{CCE198EB-0E50-40F7-8137-139877CFF2E6}"/>
    <hyperlink ref="Q18" r:id="rId4" xr:uid="{4B12D7F5-14E6-43A7-9E10-C8CF48523B34}"/>
    <hyperlink ref="Q17" r:id="rId5" xr:uid="{A660FDDB-8535-4298-A4EC-59FB09562CE9}"/>
    <hyperlink ref="Q16" r:id="rId6" xr:uid="{31DD86AB-2139-4125-A992-694DC9CFFE84}"/>
    <hyperlink ref="Q15" r:id="rId7" xr:uid="{D547A757-A362-42B1-A111-1FD4768074E4}"/>
    <hyperlink ref="Q14" r:id="rId8" xr:uid="{8099969C-6E46-4D60-BB54-E9C6E114416D}"/>
    <hyperlink ref="Q13" r:id="rId9" xr:uid="{94236141-42C7-434F-82AE-F7E078F21184}"/>
    <hyperlink ref="Q12" r:id="rId10" xr:uid="{87D7B44B-356D-4150-A469-420081C73CC3}"/>
    <hyperlink ref="Q11" r:id="rId11" xr:uid="{C96CD7C7-46B7-4E42-AED9-CB513DB14955}"/>
    <hyperlink ref="Q10" r:id="rId12" xr:uid="{15BC67F4-C81D-4121-84C5-35F6E24EFD28}"/>
    <hyperlink ref="Q9" r:id="rId13" xr:uid="{11F1B884-0773-411E-A3E0-DCEAF2235154}"/>
    <hyperlink ref="Q8" r:id="rId14" xr:uid="{3F15B251-8289-4B53-9428-A76031F50921}"/>
    <hyperlink ref="Q7" r:id="rId15" xr:uid="{DC12BB12-066F-4E32-99A9-3A2C5268FE58}"/>
    <hyperlink ref="Q6" r:id="rId16" xr:uid="{EB4FCE44-1C52-4C9B-83F4-A4B8B117FAD0}"/>
    <hyperlink ref="Q5" r:id="rId17" xr:uid="{8140C18D-ACDD-46CD-867F-5ACE5EA33D94}"/>
    <hyperlink ref="Q4" r:id="rId18" xr:uid="{E3C84EAB-F82B-4CD9-AC47-0E5E646FC7CB}"/>
    <hyperlink ref="Q3" r:id="rId19" xr:uid="{FA172825-F5BF-418B-A72D-F53CA7A48AAB}"/>
    <hyperlink ref="Q2" r:id="rId20" xr:uid="{93CBD2C5-81EC-4F21-B288-9456BE06534D}"/>
  </hyperlinks>
  <pageMargins left="0.7" right="0.7" top="0.75" bottom="0.75" header="0.3" footer="0.3"/>
  <drawing r:id="rId21"/>
  <tableParts count="1">
    <tablePart r:id="rId2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2026-07-10T02:26:23Z</dcterms:created>
  <dcterms:modified xsi:type="dcterms:W3CDTF">2026-07-27T08:08:34Z</dcterms:modified>
  <cp:category/>
  <cp:contentStatus/>
</cp:coreProperties>
</file>