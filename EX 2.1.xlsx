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2 Assignment\"/>
    </mc:Choice>
  </mc:AlternateContent>
  <xr:revisionPtr revIDLastSave="0" documentId="13_ncr:1_{2D5EDE7C-5E94-4AE4-B1FA-5473DCAA3482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definedNames>
    <definedName name="CTcost">Sheet1!$D$5</definedName>
    <definedName name="CTProfit">Sheet1!$E$5</definedName>
    <definedName name="ctRevenue">Sheet1!$C$5</definedName>
    <definedName name="CTsale">Sheet1!$B$5</definedName>
    <definedName name="CTsales">Sheet1!$B$5</definedName>
    <definedName name="FMCosts">Sheet1!$D$6</definedName>
    <definedName name="FMProfit">Sheet1!$E$6</definedName>
    <definedName name="FMRevenue">Sheet1!$C$6</definedName>
    <definedName name="FMsales">Sheet1!$B$6</definedName>
    <definedName name="Ingredients">Sheet1!$B$13</definedName>
    <definedName name="Ingrrdients">Sheet1!$B$13</definedName>
    <definedName name="LTcost">Sheet1!$D$4</definedName>
    <definedName name="LTProfit">Sheet1!$E$4</definedName>
    <definedName name="ltRevenue">Sheet1!$C$4</definedName>
    <definedName name="LTsales">Sheet1!$B$4</definedName>
    <definedName name="MMCosts">Sheet1!$D$4:$D$6</definedName>
    <definedName name="MMProfits">Sheet1!$E$4:$E$6</definedName>
    <definedName name="MMRevenue">Sheet1!$C$4:$C$6</definedName>
    <definedName name="MMSale">Sheet1!$B$4:$B$7</definedName>
    <definedName name="MMSales">Sheet1!$B$4:$B$6</definedName>
    <definedName name="Overheads">Sheet1!$B$15</definedName>
    <definedName name="Saleprice">Sheet1!$B$14</definedName>
    <definedName name="Sales">Sheet1!$B$4</definedName>
    <definedName name="Total">Sheet1!$F$7</definedName>
    <definedName name="TotalCost">Sheet1!$D$7</definedName>
    <definedName name="TotalProfit">Sheet1!$E$7</definedName>
    <definedName name="TotalRevenue">Sheet1!$C$7</definedName>
    <definedName name="TotalSale">Sheet1!$B$7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D4" i="1" l="1"/>
  <c r="D7" i="1" s="1"/>
  <c r="C7" i="1"/>
  <c r="B7" i="1"/>
  <c r="E6" i="1"/>
  <c r="E5" i="1"/>
  <c r="D6" i="1"/>
  <c r="D5" i="1"/>
  <c r="C6" i="1"/>
  <c r="C5" i="1"/>
  <c r="C4" i="1"/>
  <c r="E4" i="1" l="1"/>
  <c r="E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B4" authorId="0" shapeId="0" xr:uid="{41B6CAE3-B949-4855-A0D6-89F0D3F5A962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 : LTSales
</t>
        </r>
      </text>
    </comment>
    <comment ref="C4" authorId="0" shapeId="0" xr:uid="{3153802E-2D72-4290-B252-C88ACB4A8A23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 : LTRevenue
</t>
        </r>
      </text>
    </comment>
    <comment ref="D4" authorId="0" shapeId="0" xr:uid="{5517CA55-7F5F-4839-8FFD-0052C8B7BEE4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name: LTCost
</t>
        </r>
      </text>
    </comment>
    <comment ref="E4" authorId="0" shapeId="0" xr:uid="{E0183D1F-3780-4E74-B45A-18D1F8728747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 : LTProfit
</t>
        </r>
      </text>
    </comment>
    <comment ref="B13" authorId="0" shapeId="0" xr:uid="{EE2EB1EC-9CC9-4071-A428-8CEECA64EF28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 : Ingredients</t>
        </r>
      </text>
    </comment>
    <comment ref="B14" authorId="0" shapeId="0" xr:uid="{CD56C4CA-D00C-4045-8E7C-FB8988F62DEF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name: Sale Price
</t>
        </r>
      </text>
    </comment>
    <comment ref="B15" authorId="0" shapeId="0" xr:uid="{9D68945F-670E-4F5F-A2BC-A3B11C3DE80E}">
      <text>
        <r>
          <rPr>
            <b/>
            <sz val="9"/>
            <color indexed="81"/>
            <rFont val="Tahoma"/>
            <charset val="1"/>
          </rPr>
          <t>Win:</t>
        </r>
        <r>
          <rPr>
            <sz val="9"/>
            <color indexed="81"/>
            <rFont val="Tahoma"/>
            <charset val="1"/>
          </rPr>
          <t xml:space="preserve">
Cell Name: Overheads
</t>
        </r>
      </text>
    </comment>
  </commentList>
</comments>
</file>

<file path=xl/sharedStrings.xml><?xml version="1.0" encoding="utf-8"?>
<sst xmlns="http://schemas.openxmlformats.org/spreadsheetml/2006/main" count="15" uniqueCount="15">
  <si>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</si>
  <si>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</si>
  <si>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</si>
  <si>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</si>
  <si>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</si>
  <si>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</si>
  <si>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</si>
  <si>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</si>
  <si>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</si>
  <si>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</si>
  <si>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</si>
  <si>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Price</t>
  </si>
  <si>
    <t>Place and Time for Business</t>
  </si>
  <si>
    <t>Total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</si>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</sst>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u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/>
    <xf numFmtId="0" fontId="1" fillId="0" borderId="1" xfId="0" applyFont="1" applyBorder="1" applyAlignment="1"/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Fill="1" applyBorder="1" applyAlignment="1">
      <alignment horizontal="center"/>
    </xf>
    <xf numFmtId="164" fontId="4" fillId="0" borderId="1" xfId="0" applyNumberFormat="1" applyFont="1" applyBorder="1"/>
    <xf numFmtId="164" fontId="0" fillId="0" borderId="1" xfId="0" applyNumberFormat="1" applyFont="1" applyBorder="1" applyAlignment="1"/>
    <xf numFmtId="0" fontId="5" fillId="2" borderId="1" xfId="0" applyFont="1" applyFill="1" applyBorder="1" applyAlignment="1"/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10" sqref="E10"/>
    </sheetView>
  </sheetViews>
  <sheetFormatPr defaultColWidth="14.42578125" defaultRowHeight="15" customHeight="1" x14ac:dyDescent="0.25"/>
  <cols>
    <col min="1" max="1" width="58.28515625" customWidth="1"/>
    <col min="2" max="2" width="8.7109375" customWidth="1"/>
    <col min="3" max="3" width="9.85546875" customWidth="1"/>
    <col min="4" max="26" width="8.7109375" customWidth="1"/>
  </cols>
  <sheetData>
    <row r="1" spans="1:6" ht="14.25" customHeight="1" x14ac:dyDescent="0.25">
      <c r="A1" s="1" t="s">
        <v>0</v>
      </c>
    </row>
    <row r="2" spans="1:6" ht="14.25" customHeight="1" x14ac:dyDescent="0.25"/>
    <row r="3" spans="1:6" ht="14.25" customHeight="1" x14ac:dyDescent="0.25">
      <c r="A3" s="4" t="s">
        <v>12</v>
      </c>
      <c r="B3" s="3" t="s">
        <v>1</v>
      </c>
      <c r="C3" s="3" t="s">
        <v>2</v>
      </c>
      <c r="D3" s="3" t="s">
        <v>3</v>
      </c>
      <c r="E3" s="3" t="s">
        <v>4</v>
      </c>
    </row>
    <row r="4" spans="1:6" ht="14.25" customHeight="1" x14ac:dyDescent="0.25">
      <c r="A4" s="5" t="s">
        <v>5</v>
      </c>
      <c r="B4" s="8">
        <v>300</v>
      </c>
      <c r="C4" s="8">
        <f>LTsales*Saleprice</f>
        <v>525</v>
      </c>
      <c r="D4" s="8">
        <f>(Ingredients*LTsales)+(Overheads*LTsales)</f>
        <v>240</v>
      </c>
      <c r="E4" s="8">
        <f>ltRevenue-LTcost</f>
        <v>285</v>
      </c>
    </row>
    <row r="5" spans="1:6" ht="14.25" customHeight="1" x14ac:dyDescent="0.25">
      <c r="A5" s="5" t="s">
        <v>6</v>
      </c>
      <c r="B5" s="8">
        <v>200</v>
      </c>
      <c r="C5" s="8">
        <f>CTsale*Saleprice</f>
        <v>350</v>
      </c>
      <c r="D5" s="8">
        <f>(Ingredients*CTsale)+(Overheads*CTsale)</f>
        <v>160</v>
      </c>
      <c r="E5" s="8">
        <f>ctRevenue-CTcost</f>
        <v>190</v>
      </c>
    </row>
    <row r="6" spans="1:6" ht="14.25" customHeight="1" x14ac:dyDescent="0.25">
      <c r="A6" s="5" t="s">
        <v>7</v>
      </c>
      <c r="B6" s="8">
        <v>450</v>
      </c>
      <c r="C6" s="8">
        <f>FMsales*Saleprice</f>
        <v>787.5</v>
      </c>
      <c r="D6" s="8">
        <f>(Ingredients*FMsales)+(Overheads*FMsales)</f>
        <v>360</v>
      </c>
      <c r="E6" s="8">
        <f>FMRevenue-FMCosts</f>
        <v>427.5</v>
      </c>
    </row>
    <row r="7" spans="1:6" ht="14.25" customHeight="1" x14ac:dyDescent="0.25">
      <c r="A7" s="7"/>
      <c r="B7" s="9">
        <f>SUM(MMSales)</f>
        <v>950</v>
      </c>
      <c r="C7" s="9">
        <f>SUM(MMRevenue)</f>
        <v>1662.5</v>
      </c>
      <c r="D7" s="9">
        <f>SUM(MMCosts)</f>
        <v>760</v>
      </c>
      <c r="E7" s="9">
        <f>SUM(MMProfits)</f>
        <v>902.5</v>
      </c>
      <c r="F7" s="2" t="s">
        <v>13</v>
      </c>
    </row>
    <row r="8" spans="1:6" ht="14.25" customHeight="1" x14ac:dyDescent="0.25"/>
    <row r="9" spans="1:6" ht="14.25" customHeight="1" x14ac:dyDescent="0.25">
      <c r="B9" s="6"/>
      <c r="C9" s="6"/>
    </row>
    <row r="10" spans="1:6" ht="14.25" customHeight="1" x14ac:dyDescent="0.25">
      <c r="B10" s="6"/>
      <c r="C10" s="6"/>
    </row>
    <row r="11" spans="1:6" ht="14.25" customHeight="1" x14ac:dyDescent="0.25">
      <c r="B11" s="6"/>
      <c r="C11" s="6"/>
    </row>
    <row r="12" spans="1:6" ht="14.25" customHeight="1" x14ac:dyDescent="0.25">
      <c r="A12" s="11" t="s">
        <v>14</v>
      </c>
      <c r="B12" s="10" t="s">
        <v>11</v>
      </c>
    </row>
    <row r="13" spans="1:6" ht="14.25" customHeight="1" x14ac:dyDescent="0.25">
      <c r="A13" s="5" t="s">
        <v>8</v>
      </c>
      <c r="B13" s="8">
        <v>0.32</v>
      </c>
    </row>
    <row r="14" spans="1:6" ht="14.25" customHeight="1" x14ac:dyDescent="0.25">
      <c r="A14" s="5" t="s">
        <v>9</v>
      </c>
      <c r="B14" s="8">
        <v>1.75</v>
      </c>
    </row>
    <row r="15" spans="1:6" ht="14.25" customHeight="1" x14ac:dyDescent="0.25">
      <c r="A15" s="5" t="s">
        <v>10</v>
      </c>
      <c r="B15" s="8">
        <v>0.48</v>
      </c>
    </row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Sheet1</vt:lpstr>
      <vt:lpstr>CTcost</vt:lpstr>
      <vt:lpstr>CTProfit</vt:lpstr>
      <vt:lpstr>ctRevenue</vt:lpstr>
      <vt:lpstr>CTsale</vt:lpstr>
      <vt:lpstr>CTsales</vt:lpstr>
      <vt:lpstr>FMCosts</vt:lpstr>
      <vt:lpstr>FMProfit</vt:lpstr>
      <vt:lpstr>FMRevenue</vt:lpstr>
      <vt:lpstr>FMsales</vt:lpstr>
      <vt:lpstr>Ingredients</vt:lpstr>
      <vt:lpstr>Ingrrdients</vt:lpstr>
      <vt:lpstr>LTcost</vt:lpstr>
      <vt:lpstr>LTProfit</vt:lpstr>
      <vt:lpstr>ltRevenue</vt:lpstr>
      <vt:lpstr>LTsales</vt:lpstr>
      <vt:lpstr>MMCosts</vt:lpstr>
      <vt:lpstr>MMProfits</vt:lpstr>
      <vt:lpstr>MMRevenue</vt:lpstr>
      <vt:lpstr>MMSale</vt:lpstr>
      <vt:lpstr>MMSales</vt:lpstr>
      <vt:lpstr>Overheads</vt:lpstr>
      <vt:lpstr>Saleprice</vt:lpstr>
      <vt:lpstr>Sales</vt:lpstr>
      <vt:lpstr>Total</vt:lpstr>
      <vt:lpstr>TotalCost</vt:lpstr>
      <vt:lpstr>TotalProfit</vt:lpstr>
      <vt:lpstr>TotalRevenue</vt:lpstr>
      <vt:lpstr>TotalSale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rohan patil</cp:lastModifiedBy>
  <dcterms:created xsi:type="dcterms:W3CDTF">2015-03-27T13:38:36Z</dcterms:created>
  <dcterms:modified xsi:type="dcterms:W3CDTF">2026-07-19T03:57:39Z</dcterms:modified>
</cp:coreProperties>
</file>